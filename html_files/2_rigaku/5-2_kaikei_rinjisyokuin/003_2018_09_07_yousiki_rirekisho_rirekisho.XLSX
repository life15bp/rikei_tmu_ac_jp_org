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omments3.xml" ContentType="application/vnd.openxmlformats-officedocument.spreadsheetml.comments+xml"/>
  <Override PartName="/xl/drawings/drawing8.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0" yWindow="45" windowWidth="20490" windowHeight="7335" tabRatio="814"/>
  </bookViews>
  <sheets>
    <sheet name="【記入例】履歴書" sheetId="141" r:id="rId1"/>
    <sheet name="入力用　履歴書" sheetId="134" r:id="rId2"/>
    <sheet name="別紙　履歴書(職歴)" sheetId="135" r:id="rId3"/>
    <sheet name="通勤届" sheetId="138" r:id="rId4"/>
    <sheet name="【記入例】通勤届." sheetId="140" r:id="rId5"/>
    <sheet name="月額表（平成27年1月以降分）" sheetId="97" state="hidden" r:id="rId6"/>
    <sheet name="事務室処理用　財務会計支払" sheetId="53" state="hidden" r:id="rId7"/>
    <sheet name="支給明細書　財務会計支払 " sheetId="111" state="hidden" r:id="rId8"/>
    <sheet name="事務室処理用　科研費支払" sheetId="99" state="hidden" r:id="rId9"/>
    <sheet name="支給明細書　科研費支払" sheetId="112" state="hidden" r:id="rId10"/>
    <sheet name="日額丙欄税額作業" sheetId="109" state="hidden" r:id="rId11"/>
    <sheet name="入力用　外国人雇用状況届出書" sheetId="132" r:id="rId12"/>
  </sheets>
  <externalReferences>
    <externalReference r:id="rId13"/>
    <externalReference r:id="rId14"/>
  </externalReferences>
  <definedNames>
    <definedName name="code2" localSheetId="0">[1]別紙１!#REF!</definedName>
    <definedName name="code2" localSheetId="8">[1]別紙１!#REF!</definedName>
    <definedName name="code2" localSheetId="6">[1]別紙１!#REF!</definedName>
    <definedName name="code2" localSheetId="10">[1]別紙１!#REF!</definedName>
    <definedName name="code2">[1]別紙１!#REF!</definedName>
    <definedName name="_xlnm.Print_Area" localSheetId="9">'支給明細書　科研費支払'!$A$1:$F$63</definedName>
    <definedName name="_xlnm.Print_Area" localSheetId="7">'支給明細書　財務会計支払 '!$A$1:$F$63</definedName>
    <definedName name="_xlnm.Print_Area" localSheetId="8">'事務室処理用　科研費支払'!$A$1:$F$40</definedName>
    <definedName name="_xlnm.Print_Area" localSheetId="6">'事務室処理用　財務会計支払'!$A$11:$F$71</definedName>
    <definedName name="_xlnm.Print_Titles" localSheetId="5">'月額表（平成27年1月以降分）'!$1:$7</definedName>
    <definedName name="別紙７" localSheetId="0">[2]別紙１!#REF!</definedName>
    <definedName name="別紙７" localSheetId="10">[2]別紙１!#REF!</definedName>
    <definedName name="別紙７">[2]別紙１!#REF!</definedName>
  </definedNames>
  <calcPr calcId="145621"/>
</workbook>
</file>

<file path=xl/calcChain.xml><?xml version="1.0" encoding="utf-8"?>
<calcChain xmlns="http://schemas.openxmlformats.org/spreadsheetml/2006/main">
  <c r="O32" i="138" l="1"/>
  <c r="C26" i="53" l="1"/>
  <c r="B52" i="53" s="1"/>
  <c r="F45" i="53"/>
  <c r="F24" i="53"/>
  <c r="F58" i="53" s="1"/>
  <c r="E27" i="99"/>
  <c r="C12" i="112"/>
  <c r="F27" i="53"/>
  <c r="D13" i="111" s="1"/>
  <c r="A18" i="53"/>
  <c r="F13" i="112"/>
  <c r="D13" i="112"/>
  <c r="F11" i="112"/>
  <c r="C9" i="112"/>
  <c r="E36" i="112"/>
  <c r="C22" i="112"/>
  <c r="F35" i="112" s="1"/>
  <c r="D26" i="53"/>
  <c r="B42" i="53"/>
  <c r="C6" i="111" s="1"/>
  <c r="C39" i="111" s="1"/>
  <c r="D42" i="53"/>
  <c r="C42" i="53"/>
  <c r="B44" i="53"/>
  <c r="B40" i="53"/>
  <c r="C7" i="111" s="1"/>
  <c r="C40" i="111" s="1"/>
  <c r="D40" i="53"/>
  <c r="C40" i="53"/>
  <c r="B34" i="53"/>
  <c r="B38" i="53" s="1"/>
  <c r="F35" i="53"/>
  <c r="F34" i="53"/>
  <c r="F32" i="53"/>
  <c r="E32" i="53"/>
  <c r="E33" i="53"/>
  <c r="B31" i="53"/>
  <c r="D31" i="53"/>
  <c r="C31" i="53"/>
  <c r="B30" i="53"/>
  <c r="D30" i="53"/>
  <c r="C30" i="53"/>
  <c r="B29" i="53"/>
  <c r="C4" i="111" s="1"/>
  <c r="C38" i="111" s="1"/>
  <c r="B26" i="53"/>
  <c r="B53" i="53" s="1"/>
  <c r="B24" i="53"/>
  <c r="F11" i="53" s="1"/>
  <c r="F28" i="53"/>
  <c r="F13" i="111" s="1"/>
  <c r="H9" i="53"/>
  <c r="F41" i="53" s="1"/>
  <c r="H6" i="53"/>
  <c r="B36" i="53"/>
  <c r="E6" i="99"/>
  <c r="F34" i="112" s="1"/>
  <c r="F46" i="53"/>
  <c r="A56" i="99"/>
  <c r="B56" i="99"/>
  <c r="B15" i="99"/>
  <c r="F38" i="53"/>
  <c r="C22" i="111" s="1"/>
  <c r="F35" i="111" s="1"/>
  <c r="F19" i="53"/>
  <c r="F11" i="111"/>
  <c r="E15" i="53"/>
  <c r="C9" i="111"/>
  <c r="E36" i="111"/>
  <c r="B9" i="99"/>
  <c r="B8" i="109"/>
  <c r="B18" i="99"/>
  <c r="C7" i="112" s="1"/>
  <c r="C40" i="112" s="1"/>
  <c r="B17" i="99"/>
  <c r="C6" i="112"/>
  <c r="C39" i="112" s="1"/>
  <c r="C4" i="112"/>
  <c r="C38" i="112" s="1"/>
  <c r="G22" i="99"/>
  <c r="B46" i="53"/>
  <c r="A55" i="99"/>
  <c r="B55" i="99" s="1"/>
  <c r="B22" i="99"/>
  <c r="B5" i="99"/>
  <c r="F1" i="99" s="1"/>
  <c r="B21" i="99"/>
  <c r="B20" i="99"/>
  <c r="B19" i="99"/>
  <c r="F15" i="99" s="1"/>
  <c r="B16" i="99"/>
  <c r="D15" i="99"/>
  <c r="C6" i="99"/>
  <c r="F22" i="53"/>
  <c r="E58" i="53" s="1"/>
  <c r="E24" i="99"/>
  <c r="C16" i="112" s="1"/>
  <c r="B25" i="53"/>
  <c r="C3" i="111" s="1"/>
  <c r="C37" i="111" s="1"/>
  <c r="F62" i="53"/>
  <c r="A12" i="53"/>
  <c r="B54" i="53"/>
  <c r="B50" i="53" l="1"/>
  <c r="F34" i="111"/>
  <c r="B51" i="53"/>
  <c r="C62" i="53"/>
  <c r="D62" i="53"/>
  <c r="B28" i="53"/>
  <c r="E62" i="53"/>
  <c r="F64" i="53"/>
  <c r="B11" i="99"/>
  <c r="C8" i="99"/>
  <c r="B64" i="53"/>
  <c r="B23" i="99"/>
  <c r="B32" i="53"/>
  <c r="E20" i="99"/>
  <c r="D11" i="112" s="1"/>
  <c r="F18" i="53"/>
  <c r="C16" i="111"/>
  <c r="C12" i="111"/>
  <c r="B6" i="99"/>
  <c r="C3" i="112" s="1"/>
  <c r="C37" i="112" s="1"/>
  <c r="B62" i="53"/>
  <c r="B27" i="53"/>
  <c r="B57" i="53"/>
  <c r="B8" i="99"/>
  <c r="E22" i="99" l="1"/>
  <c r="D11" i="111"/>
  <c r="F20" i="53"/>
  <c r="C10" i="112" l="1"/>
  <c r="C14" i="112" s="1"/>
  <c r="B27" i="99"/>
  <c r="E23" i="99" s="1"/>
  <c r="J9" i="53"/>
  <c r="F21" i="53" s="1"/>
  <c r="F23" i="53" s="1"/>
  <c r="C10" i="111"/>
  <c r="C14" i="111" s="1"/>
  <c r="C17" i="112" l="1"/>
  <c r="E28" i="99"/>
  <c r="B58" i="53"/>
  <c r="F25" i="53"/>
  <c r="C17" i="111"/>
  <c r="C18" i="111" s="1"/>
  <c r="C58" i="53"/>
  <c r="C18" i="112" l="1"/>
  <c r="C20" i="112"/>
  <c r="C21" i="112" s="1"/>
  <c r="C21" i="111"/>
  <c r="C20" i="111"/>
</calcChain>
</file>

<file path=xl/comments1.xml><?xml version="1.0" encoding="utf-8"?>
<comments xmlns="http://schemas.openxmlformats.org/spreadsheetml/2006/main">
  <authors>
    <author>JIMU</author>
  </authors>
  <commentList>
    <comment ref="A15" authorId="0">
      <text>
        <r>
          <rPr>
            <b/>
            <sz val="9"/>
            <color indexed="81"/>
            <rFont val="ＭＳ Ｐゴシック"/>
            <family val="3"/>
            <charset val="128"/>
          </rPr>
          <t>元号で記入ください</t>
        </r>
      </text>
    </comment>
    <comment ref="P26" authorId="0">
      <text>
        <r>
          <rPr>
            <b/>
            <sz val="9"/>
            <color indexed="81"/>
            <rFont val="ＭＳ Ｐゴシック"/>
            <family val="3"/>
            <charset val="128"/>
          </rPr>
          <t>元号で記入ください</t>
        </r>
      </text>
    </comment>
  </commentList>
</comments>
</file>

<file path=xl/comments2.xml><?xml version="1.0" encoding="utf-8"?>
<comments xmlns="http://schemas.openxmlformats.org/spreadsheetml/2006/main">
  <authors>
    <author>首都大学東京</author>
    <author>jimu</author>
    <author>JIMU</author>
  </authors>
  <commentList>
    <comment ref="H4" authorId="0">
      <text>
        <r>
          <rPr>
            <b/>
            <sz val="9"/>
            <color indexed="81"/>
            <rFont val="ＭＳ Ｐゴシック"/>
            <family val="3"/>
            <charset val="128"/>
          </rPr>
          <t>当該月の勤務時間数を入力してください。
（金額は自動計算）
15分単位の時は小数点で入力してください。
【例】70時間15分勤務→70.25
　　　70時間30分勤務→70.5
　　　70時間45分勤務→70.75</t>
        </r>
      </text>
    </comment>
    <comment ref="C16" authorId="1">
      <text>
        <r>
          <rPr>
            <b/>
            <sz val="9"/>
            <color indexed="81"/>
            <rFont val="ＭＳ Ｐゴシック"/>
            <family val="3"/>
            <charset val="128"/>
          </rPr>
          <t xml:space="preserve">数字のみ入力してください
</t>
        </r>
      </text>
    </comment>
    <comment ref="F16" authorId="0">
      <text>
        <r>
          <rPr>
            <b/>
            <sz val="9"/>
            <color indexed="81"/>
            <rFont val="ＭＳ Ｐゴシック"/>
            <family val="3"/>
            <charset val="128"/>
          </rPr>
          <t>源泉徴収の有無を
プルダウンより選択
してください。
（下の「源泉徴収額」に
リンクしています。）</t>
        </r>
      </text>
    </comment>
    <comment ref="A18" authorId="0">
      <text>
        <r>
          <rPr>
            <b/>
            <sz val="9"/>
            <color indexed="81"/>
            <rFont val="ＭＳ Ｐゴシック"/>
            <family val="3"/>
            <charset val="128"/>
          </rPr>
          <t>決定日は、</t>
        </r>
        <r>
          <rPr>
            <b/>
            <sz val="9"/>
            <color indexed="10"/>
            <rFont val="ＭＳ Ｐゴシック"/>
            <family val="3"/>
            <charset val="128"/>
          </rPr>
          <t>最終勤務日</t>
        </r>
        <r>
          <rPr>
            <b/>
            <sz val="9"/>
            <color indexed="81"/>
            <rFont val="ＭＳ Ｐゴシック"/>
            <family val="3"/>
            <charset val="128"/>
          </rPr>
          <t>とする。（※月次決算を考慮）</t>
        </r>
      </text>
    </comment>
    <comment ref="A19" authorId="0">
      <text>
        <r>
          <rPr>
            <b/>
            <sz val="9"/>
            <color indexed="81"/>
            <rFont val="ＭＳ Ｐゴシック"/>
            <family val="3"/>
            <charset val="128"/>
          </rPr>
          <t>決定日は、</t>
        </r>
        <r>
          <rPr>
            <b/>
            <sz val="9"/>
            <color indexed="10"/>
            <rFont val="ＭＳ Ｐゴシック"/>
            <family val="3"/>
            <charset val="128"/>
          </rPr>
          <t>最終勤務日</t>
        </r>
        <r>
          <rPr>
            <b/>
            <sz val="9"/>
            <color indexed="81"/>
            <rFont val="ＭＳ Ｐゴシック"/>
            <family val="3"/>
            <charset val="128"/>
          </rPr>
          <t>とする。（※月次決算を考慮）</t>
        </r>
      </text>
    </comment>
    <comment ref="F41" authorId="0">
      <text>
        <r>
          <rPr>
            <b/>
            <sz val="9"/>
            <color indexed="8"/>
            <rFont val="ＭＳ Ｐゴシック"/>
            <family val="3"/>
            <charset val="128"/>
          </rPr>
          <t>賃金支払月の翌月10日（10日が土日・祝日の場合は、直前の平日）を入力→会計の手引き80頁参照
半角数字で入力
入力例：2008/08/10
表示結果：平成20年8月10日</t>
        </r>
      </text>
    </comment>
    <comment ref="C62" authorId="2">
      <text>
        <r>
          <rPr>
            <b/>
            <sz val="9"/>
            <color indexed="81"/>
            <rFont val="ＭＳ Ｐゴシック"/>
            <family val="3"/>
            <charset val="128"/>
          </rPr>
          <t xml:space="preserve">ここの部分、左と同様に予算シートからの呼び出しが必要ですが、よくわかりません…
</t>
        </r>
      </text>
    </comment>
  </commentList>
</comments>
</file>

<file path=xl/comments3.xml><?xml version="1.0" encoding="utf-8"?>
<comments xmlns="http://schemas.openxmlformats.org/spreadsheetml/2006/main">
  <authors>
    <author>首都大学東京</author>
  </authors>
  <commentList>
    <comment ref="B6" authorId="0">
      <text>
        <r>
          <rPr>
            <b/>
            <sz val="9"/>
            <color indexed="10"/>
            <rFont val="ＭＳ Ｐゴシック"/>
            <family val="3"/>
            <charset val="128"/>
          </rPr>
          <t>リストボックス</t>
        </r>
        <r>
          <rPr>
            <b/>
            <sz val="9"/>
            <color indexed="81"/>
            <rFont val="ＭＳ Ｐゴシック"/>
            <family val="3"/>
            <charset val="128"/>
          </rPr>
          <t>から【所属（コース･専攻）】お選びください。</t>
        </r>
        <r>
          <rPr>
            <sz val="9"/>
            <color indexed="81"/>
            <rFont val="ＭＳ Ｐゴシック"/>
            <family val="3"/>
            <charset val="128"/>
          </rPr>
          <t xml:space="preserve">
</t>
        </r>
      </text>
    </comment>
    <comment ref="B7" authorId="0">
      <text>
        <r>
          <rPr>
            <b/>
            <sz val="9"/>
            <color indexed="81"/>
            <rFont val="ＭＳ Ｐゴシック"/>
            <family val="3"/>
            <charset val="128"/>
          </rPr>
          <t>プルダウンから選択</t>
        </r>
      </text>
    </comment>
    <comment ref="D14" authorId="0">
      <text>
        <r>
          <rPr>
            <b/>
            <sz val="9"/>
            <color indexed="10"/>
            <rFont val="ＭＳ Ｐゴシック"/>
            <family val="3"/>
            <charset val="128"/>
          </rPr>
          <t>半角数字</t>
        </r>
        <r>
          <rPr>
            <b/>
            <sz val="9"/>
            <color indexed="81"/>
            <rFont val="ＭＳ Ｐゴシック"/>
            <family val="3"/>
            <charset val="128"/>
          </rPr>
          <t>で入力
入力例：</t>
        </r>
        <r>
          <rPr>
            <b/>
            <sz val="9"/>
            <color indexed="12"/>
            <rFont val="ＭＳ Ｐゴシック"/>
            <family val="3"/>
            <charset val="128"/>
          </rPr>
          <t>2008/9/30</t>
        </r>
        <r>
          <rPr>
            <b/>
            <sz val="9"/>
            <color indexed="81"/>
            <rFont val="ＭＳ Ｐゴシック"/>
            <family val="3"/>
            <charset val="128"/>
          </rPr>
          <t xml:space="preserve">
表示結果：</t>
        </r>
        <r>
          <rPr>
            <b/>
            <sz val="9"/>
            <color indexed="12"/>
            <rFont val="ＭＳ Ｐゴシック"/>
            <family val="3"/>
            <charset val="128"/>
          </rPr>
          <t>平成20年9月30日</t>
        </r>
      </text>
    </comment>
    <comment ref="E18" authorId="0">
      <text>
        <r>
          <rPr>
            <b/>
            <sz val="9"/>
            <color indexed="81"/>
            <rFont val="ＭＳ Ｐゴシック"/>
            <family val="3"/>
            <charset val="128"/>
          </rPr>
          <t>源泉徴収の有無を
プルダウンより選択
してください。
（下の「源泉徴収額」に
リンクしています。）</t>
        </r>
      </text>
    </comment>
    <comment ref="E20" authorId="0">
      <text>
        <r>
          <rPr>
            <b/>
            <sz val="9"/>
            <color indexed="81"/>
            <rFont val="ＭＳ Ｐゴシック"/>
            <family val="3"/>
            <charset val="128"/>
          </rPr>
          <t>当該月の勤務時間数を入力してください。
（金額は自動計算）</t>
        </r>
      </text>
    </comment>
    <comment ref="E21" authorId="0">
      <text>
        <r>
          <rPr>
            <b/>
            <sz val="9"/>
            <color indexed="81"/>
            <rFont val="ＭＳ Ｐゴシック"/>
            <family val="3"/>
            <charset val="128"/>
          </rPr>
          <t>当該月の勤務時間数を入力してください。
（金額は自動計算）
15分単位の時は小数点で入力してください。
【例】70時間15分勤務→70.25
　　　70時間30分勤務→70.5
　　　70時間45分勤務→70.75</t>
        </r>
      </text>
    </comment>
  </commentList>
</comments>
</file>

<file path=xl/comments4.xml><?xml version="1.0" encoding="utf-8"?>
<comments xmlns="http://schemas.openxmlformats.org/spreadsheetml/2006/main">
  <authors>
    <author>首都大学東京</author>
    <author>JIMU</author>
  </authors>
  <commentList>
    <comment ref="U6" authorId="0">
      <text>
        <r>
          <rPr>
            <b/>
            <sz val="12"/>
            <color indexed="10"/>
            <rFont val="ＭＳ Ｐゴシック"/>
            <family val="3"/>
            <charset val="128"/>
          </rPr>
          <t>薄黄色のセルに入力してください。</t>
        </r>
      </text>
    </comment>
    <comment ref="AQ12" authorId="0">
      <text>
        <r>
          <rPr>
            <sz val="11"/>
            <color indexed="81"/>
            <rFont val="ＭＳ Ｐゴシック"/>
            <family val="3"/>
            <charset val="128"/>
          </rPr>
          <t>・姓、名、ミドルネームの順に記載してください（ミドルネームが無い場合は姓名のみ）。
・記載する際は、</t>
        </r>
        <r>
          <rPr>
            <sz val="11"/>
            <color indexed="10"/>
            <rFont val="ＭＳ Ｐゴシック"/>
            <family val="3"/>
            <charset val="128"/>
          </rPr>
          <t>ローマ字</t>
        </r>
        <r>
          <rPr>
            <sz val="11"/>
            <color indexed="81"/>
            <rFont val="ＭＳ Ｐゴシック"/>
            <family val="3"/>
            <charset val="128"/>
          </rPr>
          <t>または</t>
        </r>
        <r>
          <rPr>
            <sz val="11"/>
            <color indexed="10"/>
            <rFont val="ＭＳ Ｐゴシック"/>
            <family val="3"/>
            <charset val="128"/>
          </rPr>
          <t>漢字</t>
        </r>
        <r>
          <rPr>
            <sz val="11"/>
            <color indexed="81"/>
            <rFont val="ＭＳ Ｐゴシック"/>
            <family val="3"/>
            <charset val="128"/>
          </rPr>
          <t>を使用してください。
・</t>
        </r>
        <r>
          <rPr>
            <sz val="11"/>
            <color indexed="10"/>
            <rFont val="ＭＳ Ｐゴシック"/>
            <family val="3"/>
            <charset val="128"/>
          </rPr>
          <t>フリガナ</t>
        </r>
        <r>
          <rPr>
            <sz val="11"/>
            <color indexed="8"/>
            <rFont val="ＭＳ Ｐゴシック"/>
            <family val="3"/>
            <charset val="128"/>
          </rPr>
          <t>は</t>
        </r>
        <r>
          <rPr>
            <sz val="11"/>
            <color indexed="10"/>
            <rFont val="ＭＳ Ｐゴシック"/>
            <family val="3"/>
            <charset val="128"/>
          </rPr>
          <t>カタカナ</t>
        </r>
        <r>
          <rPr>
            <sz val="11"/>
            <color indexed="81"/>
            <rFont val="ＭＳ Ｐゴシック"/>
            <family val="3"/>
            <charset val="128"/>
          </rPr>
          <t>で記載してください。</t>
        </r>
      </text>
    </comment>
    <comment ref="K16" authorId="1">
      <text>
        <r>
          <rPr>
            <sz val="9"/>
            <color indexed="81"/>
            <rFont val="ＭＳ Ｐゴシック"/>
            <family val="3"/>
            <charset val="128"/>
          </rPr>
          <t xml:space="preserve">在留カードの裏面に
「就業許可印」があるか
ご確認ください
</t>
        </r>
      </text>
    </comment>
    <comment ref="AQ16" authorId="0">
      <text>
        <r>
          <rPr>
            <sz val="10"/>
            <color indexed="81"/>
            <rFont val="ＭＳ Ｐゴシック"/>
            <family val="3"/>
            <charset val="128"/>
          </rPr>
          <t>在留カードの在留期間が雇用期間内かご確認ください</t>
        </r>
        <r>
          <rPr>
            <sz val="11"/>
            <color indexed="81"/>
            <rFont val="ＭＳ Ｐゴシック"/>
            <family val="3"/>
            <charset val="128"/>
          </rPr>
          <t xml:space="preserve">
</t>
        </r>
      </text>
    </comment>
    <comment ref="AQ22" authorId="0">
      <text>
        <r>
          <rPr>
            <sz val="11"/>
            <color indexed="81"/>
            <rFont val="ＭＳ Ｐゴシック"/>
            <family val="3"/>
            <charset val="128"/>
          </rPr>
          <t>該当する番号を囲んでください</t>
        </r>
      </text>
    </comment>
    <comment ref="AQ27" authorId="0">
      <text>
        <r>
          <rPr>
            <sz val="11"/>
            <color indexed="81"/>
            <rFont val="ＭＳ Ｐゴシック"/>
            <family val="3"/>
            <charset val="128"/>
          </rPr>
          <t>該当する番号を囲んでください</t>
        </r>
      </text>
    </comment>
    <comment ref="AR32" authorId="0">
      <text>
        <r>
          <rPr>
            <sz val="11"/>
            <color indexed="81"/>
            <rFont val="ＭＳ Ｐゴシック"/>
            <family val="3"/>
            <charset val="128"/>
          </rPr>
          <t>雇用期間を記載してください。
（労働条件通知書に記載されている雇用期間の最終日）</t>
        </r>
      </text>
    </comment>
  </commentList>
</comments>
</file>

<file path=xl/sharedStrings.xml><?xml version="1.0" encoding="utf-8"?>
<sst xmlns="http://schemas.openxmlformats.org/spreadsheetml/2006/main" count="983" uniqueCount="482">
  <si>
    <t>区分</t>
    <rPh sb="0" eb="2">
      <t>クブン</t>
    </rPh>
    <phoneticPr fontId="3"/>
  </si>
  <si>
    <t>雇用開始日</t>
    <rPh sb="0" eb="2">
      <t>コヨウ</t>
    </rPh>
    <rPh sb="2" eb="5">
      <t>カイシビ</t>
    </rPh>
    <phoneticPr fontId="3"/>
  </si>
  <si>
    <t>雇用最終日</t>
    <rPh sb="0" eb="2">
      <t>コヨウ</t>
    </rPh>
    <rPh sb="2" eb="5">
      <t>サイシュウビ</t>
    </rPh>
    <phoneticPr fontId="3"/>
  </si>
  <si>
    <t>　ついて、上記のとおり賃金の支払いを決定する。</t>
    <rPh sb="5" eb="7">
      <t>ジョウキ</t>
    </rPh>
    <rPh sb="11" eb="13">
      <t>チンギン</t>
    </rPh>
    <rPh sb="14" eb="16">
      <t>シハラ</t>
    </rPh>
    <rPh sb="18" eb="20">
      <t>ケッテイ</t>
    </rPh>
    <phoneticPr fontId="3"/>
  </si>
  <si>
    <t>雇用保険額</t>
    <rPh sb="0" eb="2">
      <t>コヨウ</t>
    </rPh>
    <rPh sb="2" eb="4">
      <t>ホケン</t>
    </rPh>
    <rPh sb="4" eb="5">
      <t>ガク</t>
    </rPh>
    <phoneticPr fontId="3"/>
  </si>
  <si>
    <t>雇用保険の有無</t>
    <rPh sb="0" eb="2">
      <t>コヨウ</t>
    </rPh>
    <rPh sb="2" eb="4">
      <t>ホケン</t>
    </rPh>
    <rPh sb="5" eb="7">
      <t>ウム</t>
    </rPh>
    <phoneticPr fontId="3"/>
  </si>
  <si>
    <t>[雇用保険]</t>
    <rPh sb="1" eb="3">
      <t>コヨウ</t>
    </rPh>
    <rPh sb="3" eb="5">
      <t>ホケン</t>
    </rPh>
    <phoneticPr fontId="3"/>
  </si>
  <si>
    <t>□コース送付済み</t>
    <rPh sb="4" eb="6">
      <t>ソウフ</t>
    </rPh>
    <rPh sb="6" eb="7">
      <t>ス</t>
    </rPh>
    <phoneticPr fontId="3"/>
  </si>
  <si>
    <t>年</t>
    <rPh sb="0" eb="1">
      <t>ネン</t>
    </rPh>
    <phoneticPr fontId="3"/>
  </si>
  <si>
    <t>※出納チェックを外して下さい。</t>
    <rPh sb="1" eb="3">
      <t>スイトウ</t>
    </rPh>
    <rPh sb="8" eb="9">
      <t>ハズ</t>
    </rPh>
    <rPh sb="11" eb="12">
      <t>クダ</t>
    </rPh>
    <phoneticPr fontId="3"/>
  </si>
  <si>
    <t>臨時職員名</t>
    <rPh sb="0" eb="2">
      <t>リンジ</t>
    </rPh>
    <rPh sb="2" eb="4">
      <t>ショクイン</t>
    </rPh>
    <rPh sb="4" eb="5">
      <t>メイ</t>
    </rPh>
    <phoneticPr fontId="3"/>
  </si>
  <si>
    <t>賃金単価（時給）：</t>
    <rPh sb="0" eb="2">
      <t>チンギン</t>
    </rPh>
    <rPh sb="2" eb="4">
      <t>タンカ</t>
    </rPh>
    <rPh sb="5" eb="7">
      <t>ジキュウ</t>
    </rPh>
    <phoneticPr fontId="3"/>
  </si>
  <si>
    <t>号により雇用した臨時職員に</t>
    <phoneticPr fontId="3"/>
  </si>
  <si>
    <t>3-C</t>
    <phoneticPr fontId="3"/>
  </si>
  <si>
    <t>4</t>
    <phoneticPr fontId="3"/>
  </si>
  <si>
    <t>5</t>
    <phoneticPr fontId="3"/>
  </si>
  <si>
    <t>[賃金単価]</t>
    <phoneticPr fontId="3"/>
  </si>
  <si>
    <t>[区分]</t>
    <rPh sb="1" eb="3">
      <t>クブン</t>
    </rPh>
    <phoneticPr fontId="3"/>
  </si>
  <si>
    <t>発行番号</t>
    <rPh sb="0" eb="2">
      <t>ハッコウ</t>
    </rPh>
    <rPh sb="2" eb="4">
      <t>バンゴウ</t>
    </rPh>
    <phoneticPr fontId="3"/>
  </si>
  <si>
    <t>予算執行単位</t>
    <rPh sb="0" eb="2">
      <t>ヨサン</t>
    </rPh>
    <rPh sb="2" eb="4">
      <t>シッコウ</t>
    </rPh>
    <rPh sb="4" eb="6">
      <t>タンイ</t>
    </rPh>
    <phoneticPr fontId="3"/>
  </si>
  <si>
    <t>学修番号/債主ﾏｽﾀｺｰﾄﾞ</t>
    <rPh sb="5" eb="7">
      <t>サイシュ</t>
    </rPh>
    <phoneticPr fontId="3"/>
  </si>
  <si>
    <t>個別支払</t>
    <rPh sb="0" eb="2">
      <t>コベツ</t>
    </rPh>
    <rPh sb="2" eb="4">
      <t>シハライ</t>
    </rPh>
    <phoneticPr fontId="3"/>
  </si>
  <si>
    <t>執行管理単位</t>
    <rPh sb="0" eb="2">
      <t>シッコウ</t>
    </rPh>
    <rPh sb="2" eb="4">
      <t>カンリ</t>
    </rPh>
    <rPh sb="4" eb="6">
      <t>タンイ</t>
    </rPh>
    <phoneticPr fontId="3"/>
  </si>
  <si>
    <t xml:space="preserve">   扶養親族等の数が7人を超える場合には、扶養親族等の数が7人の場合の税額から、その7人を超える</t>
  </si>
  <si>
    <t>契約　　・資金前渡　　・立替払い</t>
    <rPh sb="0" eb="2">
      <t>ケイヤク</t>
    </rPh>
    <rPh sb="5" eb="7">
      <t>シキン</t>
    </rPh>
    <rPh sb="7" eb="8">
      <t>ゼン</t>
    </rPh>
    <rPh sb="8" eb="9">
      <t>ト</t>
    </rPh>
    <rPh sb="12" eb="14">
      <t>タテカエ</t>
    </rPh>
    <rPh sb="14" eb="15">
      <t>ハラ</t>
    </rPh>
    <phoneticPr fontId="3"/>
  </si>
  <si>
    <t>第１管理単位</t>
    <rPh sb="0" eb="1">
      <t>ダイ</t>
    </rPh>
    <rPh sb="2" eb="4">
      <t>カンリ</t>
    </rPh>
    <rPh sb="4" eb="6">
      <t>タンイ</t>
    </rPh>
    <phoneticPr fontId="3"/>
  </si>
  <si>
    <t>研究課題名</t>
    <rPh sb="0" eb="2">
      <t>ケンキュウ</t>
    </rPh>
    <rPh sb="2" eb="3">
      <t>カ</t>
    </rPh>
    <rPh sb="3" eb="5">
      <t>ダイメイ</t>
    </rPh>
    <phoneticPr fontId="3"/>
  </si>
  <si>
    <t>平成</t>
    <rPh sb="0" eb="2">
      <t>ヘイセイ</t>
    </rPh>
    <phoneticPr fontId="3"/>
  </si>
  <si>
    <t>月分</t>
    <rPh sb="0" eb="2">
      <t>ガツブン</t>
    </rPh>
    <phoneticPr fontId="3"/>
  </si>
  <si>
    <t>伝票日付</t>
    <rPh sb="0" eb="2">
      <t>デンピョウ</t>
    </rPh>
    <rPh sb="2" eb="4">
      <t>ヒヅケ</t>
    </rPh>
    <phoneticPr fontId="3"/>
  </si>
  <si>
    <t>契約日</t>
    <rPh sb="0" eb="3">
      <t>ケイヤクビ</t>
    </rPh>
    <phoneticPr fontId="3"/>
  </si>
  <si>
    <t>受入期日</t>
    <rPh sb="0" eb="2">
      <t>ウケイレ</t>
    </rPh>
    <rPh sb="2" eb="4">
      <t>キジツ</t>
    </rPh>
    <phoneticPr fontId="3"/>
  </si>
  <si>
    <t>債主ｺｰﾄﾞ</t>
    <rPh sb="0" eb="2">
      <t>サイシュ</t>
    </rPh>
    <phoneticPr fontId="3"/>
  </si>
  <si>
    <t xml:space="preserve">   その月の社会保</t>
  </si>
  <si>
    <t>甲</t>
  </si>
  <si>
    <t>　</t>
  </si>
  <si>
    <t xml:space="preserve">   険料等控除後の</t>
    <rPh sb="5" eb="6">
      <t>トウ</t>
    </rPh>
    <phoneticPr fontId="3"/>
  </si>
  <si>
    <t>6  人</t>
  </si>
  <si>
    <t>7  人</t>
  </si>
  <si>
    <t>以  上</t>
  </si>
  <si>
    <t>未  満</t>
  </si>
  <si>
    <t>税                                            額</t>
  </si>
  <si>
    <t>税  額</t>
  </si>
  <si>
    <t>円</t>
  </si>
  <si>
    <t>円未満</t>
  </si>
  <si>
    <t xml:space="preserve">賃金計算書 兼 支払決定書   </t>
    <rPh sb="0" eb="2">
      <t>チンギン</t>
    </rPh>
    <rPh sb="2" eb="4">
      <t>ケイサン</t>
    </rPh>
    <rPh sb="4" eb="5">
      <t>ショ</t>
    </rPh>
    <rPh sb="6" eb="7">
      <t>ケン</t>
    </rPh>
    <rPh sb="8" eb="10">
      <t>シハラ</t>
    </rPh>
    <rPh sb="10" eb="12">
      <t>ケッテイ</t>
    </rPh>
    <rPh sb="12" eb="13">
      <t>ショ</t>
    </rPh>
    <phoneticPr fontId="3"/>
  </si>
  <si>
    <r>
      <t xml:space="preserve">           支出負担行為決定書兼購入等依頼書（科研費・</t>
    </r>
    <r>
      <rPr>
        <b/>
        <u val="double"/>
        <sz val="16"/>
        <rFont val="HG丸ｺﾞｼｯｸM-PRO"/>
        <family val="3"/>
        <charset val="128"/>
      </rPr>
      <t>賃金専用</t>
    </r>
    <r>
      <rPr>
        <b/>
        <sz val="16"/>
        <rFont val="HG丸ｺﾞｼｯｸM-PRO"/>
        <family val="3"/>
        <charset val="128"/>
      </rPr>
      <t>）</t>
    </r>
    <rPh sb="11" eb="13">
      <t>シシュツ</t>
    </rPh>
    <rPh sb="13" eb="15">
      <t>フタン</t>
    </rPh>
    <rPh sb="15" eb="17">
      <t>コウイ</t>
    </rPh>
    <rPh sb="17" eb="19">
      <t>ケッテイ</t>
    </rPh>
    <rPh sb="19" eb="20">
      <t>ショ</t>
    </rPh>
    <rPh sb="20" eb="21">
      <t>ケン</t>
    </rPh>
    <rPh sb="21" eb="23">
      <t>コウニュウ</t>
    </rPh>
    <rPh sb="23" eb="24">
      <t>トウ</t>
    </rPh>
    <rPh sb="24" eb="26">
      <t>イライ</t>
    </rPh>
    <rPh sb="26" eb="27">
      <t>ショ</t>
    </rPh>
    <rPh sb="28" eb="30">
      <t>カケン</t>
    </rPh>
    <rPh sb="30" eb="31">
      <t>ヒ</t>
    </rPh>
    <rPh sb="32" eb="34">
      <t>チンギン</t>
    </rPh>
    <rPh sb="34" eb="36">
      <t>センヨウ</t>
    </rPh>
    <phoneticPr fontId="3"/>
  </si>
  <si>
    <r>
      <t>00</t>
    </r>
    <r>
      <rPr>
        <sz val="11"/>
        <rFont val="ＭＳ Ｐゴシック"/>
        <family val="3"/>
        <charset val="128"/>
      </rPr>
      <t xml:space="preserve"> ： </t>
    </r>
    <r>
      <rPr>
        <sz val="11"/>
        <rFont val="ＭＳ Ｐゴシック"/>
        <family val="3"/>
        <charset val="128"/>
      </rPr>
      <t>対象外</t>
    </r>
    <r>
      <rPr>
        <sz val="11"/>
        <rFont val="ＭＳ Ｐゴシック"/>
        <family val="3"/>
        <charset val="128"/>
      </rPr>
      <t/>
    </r>
    <rPh sb="5" eb="7">
      <t>タイショウ</t>
    </rPh>
    <rPh sb="7" eb="8">
      <t>ガイ</t>
    </rPh>
    <phoneticPr fontId="3"/>
  </si>
  <si>
    <r>
      <t>85</t>
    </r>
    <r>
      <rPr>
        <sz val="11"/>
        <rFont val="ＭＳ Ｐゴシック"/>
        <family val="3"/>
        <charset val="128"/>
      </rPr>
      <t xml:space="preserve"> ： </t>
    </r>
    <r>
      <rPr>
        <sz val="11"/>
        <rFont val="ＭＳ Ｐゴシック"/>
        <family val="3"/>
        <charset val="128"/>
      </rPr>
      <t>非・不課税</t>
    </r>
    <r>
      <rPr>
        <sz val="11"/>
        <rFont val="ＭＳ Ｐゴシック"/>
        <family val="3"/>
        <charset val="128"/>
      </rPr>
      <t/>
    </r>
    <rPh sb="5" eb="6">
      <t>ヒ</t>
    </rPh>
    <rPh sb="7" eb="8">
      <t>フ</t>
    </rPh>
    <rPh sb="8" eb="10">
      <t>カゼイ</t>
    </rPh>
    <phoneticPr fontId="3"/>
  </si>
  <si>
    <t>扶        養        親        族        等        の        数</t>
  </si>
  <si>
    <t>乙</t>
  </si>
  <si>
    <t xml:space="preserve">   給与等の金額</t>
    <rPh sb="3" eb="5">
      <t>キュウヨ</t>
    </rPh>
    <phoneticPr fontId="3"/>
  </si>
  <si>
    <t>0  人</t>
  </si>
  <si>
    <t>1  人</t>
  </si>
  <si>
    <t>2  人</t>
  </si>
  <si>
    <t>3  人</t>
  </si>
  <si>
    <t>4  人</t>
  </si>
  <si>
    <t>5  人</t>
  </si>
  <si>
    <t>源泉徴収の有無</t>
    <rPh sb="0" eb="2">
      <t>ゲンセン</t>
    </rPh>
    <rPh sb="2" eb="4">
      <t>チョウシュウ</t>
    </rPh>
    <rPh sb="5" eb="7">
      <t>ウム</t>
    </rPh>
    <phoneticPr fontId="3"/>
  </si>
  <si>
    <t>賃金単価（時給）</t>
    <rPh sb="0" eb="2">
      <t>チンギン</t>
    </rPh>
    <rPh sb="2" eb="4">
      <t>タンカ</t>
    </rPh>
    <rPh sb="5" eb="7">
      <t>ジキュウ</t>
    </rPh>
    <phoneticPr fontId="3"/>
  </si>
  <si>
    <t>勤務時間</t>
    <rPh sb="0" eb="2">
      <t>キンム</t>
    </rPh>
    <rPh sb="2" eb="4">
      <t>ジカン</t>
    </rPh>
    <phoneticPr fontId="3"/>
  </si>
  <si>
    <t>賃金支払額</t>
    <rPh sb="0" eb="2">
      <t>チンギン</t>
    </rPh>
    <rPh sb="2" eb="4">
      <t>シハライ</t>
    </rPh>
    <rPh sb="4" eb="5">
      <t>ガク</t>
    </rPh>
    <phoneticPr fontId="3"/>
  </si>
  <si>
    <t>源泉徴収額</t>
    <rPh sb="0" eb="2">
      <t>ゲンセン</t>
    </rPh>
    <rPh sb="2" eb="4">
      <t>チョウシュウ</t>
    </rPh>
    <rPh sb="4" eb="5">
      <t>ガク</t>
    </rPh>
    <phoneticPr fontId="3"/>
  </si>
  <si>
    <t>本人支払額</t>
    <rPh sb="0" eb="2">
      <t>ホンニン</t>
    </rPh>
    <rPh sb="2" eb="4">
      <t>シハライ</t>
    </rPh>
    <rPh sb="4" eb="5">
      <t>ガク</t>
    </rPh>
    <phoneticPr fontId="3"/>
  </si>
  <si>
    <t>〔雇用内容〕</t>
    <rPh sb="1" eb="3">
      <t>コヨウ</t>
    </rPh>
    <rPh sb="3" eb="5">
      <t>ナイヨウ</t>
    </rPh>
    <phoneticPr fontId="3"/>
  </si>
  <si>
    <t>勤務日数</t>
    <rPh sb="0" eb="2">
      <t>キンム</t>
    </rPh>
    <rPh sb="2" eb="4">
      <t>ニッスウ</t>
    </rPh>
    <phoneticPr fontId="3"/>
  </si>
  <si>
    <t>[借]勘定科目</t>
    <rPh sb="1" eb="2">
      <t>シャク</t>
    </rPh>
    <rPh sb="3" eb="5">
      <t>カンジョウ</t>
    </rPh>
    <rPh sb="5" eb="7">
      <t>カモク</t>
    </rPh>
    <phoneticPr fontId="3"/>
  </si>
  <si>
    <t>[貸]勘定科目</t>
    <rPh sb="1" eb="2">
      <t>カシ</t>
    </rPh>
    <rPh sb="3" eb="5">
      <t>カンジョウ</t>
    </rPh>
    <rPh sb="5" eb="7">
      <t>カモク</t>
    </rPh>
    <phoneticPr fontId="3"/>
  </si>
  <si>
    <t>賃　金　支　給　明　細　書</t>
    <rPh sb="0" eb="1">
      <t>チン</t>
    </rPh>
    <rPh sb="2" eb="3">
      <t>キン</t>
    </rPh>
    <rPh sb="4" eb="5">
      <t>ササ</t>
    </rPh>
    <rPh sb="6" eb="7">
      <t>キュウ</t>
    </rPh>
    <rPh sb="8" eb="9">
      <t>メイ</t>
    </rPh>
    <rPh sb="10" eb="11">
      <t>ホソ</t>
    </rPh>
    <rPh sb="12" eb="13">
      <t>ショ</t>
    </rPh>
    <phoneticPr fontId="3"/>
  </si>
  <si>
    <t>所属</t>
    <rPh sb="0" eb="2">
      <t>ショゾク</t>
    </rPh>
    <phoneticPr fontId="3"/>
  </si>
  <si>
    <t>担当教員</t>
    <rPh sb="0" eb="2">
      <t>タントウ</t>
    </rPh>
    <rPh sb="2" eb="4">
      <t>キョウイン</t>
    </rPh>
    <phoneticPr fontId="3"/>
  </si>
  <si>
    <t>対象期間</t>
    <rPh sb="0" eb="2">
      <t>タイショウ</t>
    </rPh>
    <rPh sb="2" eb="4">
      <t>キカン</t>
    </rPh>
    <phoneticPr fontId="3"/>
  </si>
  <si>
    <t>時給</t>
    <rPh sb="0" eb="2">
      <t>ジキュウ</t>
    </rPh>
    <phoneticPr fontId="3"/>
  </si>
  <si>
    <t>控除額</t>
    <rPh sb="0" eb="2">
      <t>コウジョ</t>
    </rPh>
    <rPh sb="2" eb="3">
      <t>ガク</t>
    </rPh>
    <phoneticPr fontId="3"/>
  </si>
  <si>
    <t>差引支給額</t>
    <rPh sb="0" eb="2">
      <t>サシヒ</t>
    </rPh>
    <rPh sb="2" eb="4">
      <t>シキュウ</t>
    </rPh>
    <rPh sb="4" eb="5">
      <t>ガク</t>
    </rPh>
    <phoneticPr fontId="3"/>
  </si>
  <si>
    <t>支給年月日</t>
    <rPh sb="0" eb="2">
      <t>シキュウ</t>
    </rPh>
    <rPh sb="2" eb="3">
      <t>ネン</t>
    </rPh>
    <rPh sb="3" eb="5">
      <t>ガッピ</t>
    </rPh>
    <phoneticPr fontId="3"/>
  </si>
  <si>
    <t>（カナ）</t>
    <phoneticPr fontId="3"/>
  </si>
  <si>
    <t>所属（コース名）</t>
    <rPh sb="0" eb="2">
      <t>ショゾク</t>
    </rPh>
    <rPh sb="6" eb="7">
      <t>メイ</t>
    </rPh>
    <phoneticPr fontId="3"/>
  </si>
  <si>
    <t>契約件名</t>
    <rPh sb="0" eb="2">
      <t>ケイヤク</t>
    </rPh>
    <rPh sb="2" eb="4">
      <t>ケンメイ</t>
    </rPh>
    <phoneticPr fontId="3"/>
  </si>
  <si>
    <r>
      <t>2</t>
    </r>
    <r>
      <rPr>
        <sz val="11"/>
        <rFont val="ＭＳ Ｐゴシック"/>
        <family val="3"/>
        <charset val="128"/>
      </rPr>
      <t>01：     給与</t>
    </r>
    <rPh sb="9" eb="11">
      <t>キュウヨ</t>
    </rPh>
    <phoneticPr fontId="3"/>
  </si>
  <si>
    <r>
      <t>42100：</t>
    </r>
    <r>
      <rPr>
        <sz val="11"/>
        <rFont val="ＭＳ Ｐゴシック"/>
        <family val="3"/>
        <charset val="128"/>
      </rPr>
      <t xml:space="preserve"> </t>
    </r>
    <r>
      <rPr>
        <sz val="11"/>
        <rFont val="ＭＳ Ｐゴシック"/>
        <family val="3"/>
        <charset val="128"/>
      </rPr>
      <t>預り金（雇用保険）</t>
    </r>
    <rPh sb="7" eb="8">
      <t>アズカ</t>
    </rPh>
    <rPh sb="9" eb="10">
      <t>キン</t>
    </rPh>
    <rPh sb="11" eb="13">
      <t>コヨウ</t>
    </rPh>
    <rPh sb="13" eb="15">
      <t>ホケン</t>
    </rPh>
    <phoneticPr fontId="3"/>
  </si>
  <si>
    <t>★源泉徴収の有無を選択★</t>
    <rPh sb="1" eb="3">
      <t>ゲンセン</t>
    </rPh>
    <rPh sb="3" eb="5">
      <t>チョウシュウ</t>
    </rPh>
    <rPh sb="6" eb="8">
      <t>ウム</t>
    </rPh>
    <rPh sb="9" eb="11">
      <t>センタク</t>
    </rPh>
    <phoneticPr fontId="3"/>
  </si>
  <si>
    <t>★職を選択★</t>
    <rPh sb="1" eb="2">
      <t>ショク</t>
    </rPh>
    <rPh sb="3" eb="5">
      <t>センタク</t>
    </rPh>
    <phoneticPr fontId="3"/>
  </si>
  <si>
    <t>★区分を選択してください★</t>
    <rPh sb="1" eb="3">
      <t>クブン</t>
    </rPh>
    <rPh sb="4" eb="6">
      <t>センタク</t>
    </rPh>
    <phoneticPr fontId="3"/>
  </si>
  <si>
    <t>源泉徴収の有無：</t>
    <rPh sb="0" eb="2">
      <t>ゲンセン</t>
    </rPh>
    <rPh sb="2" eb="4">
      <t>チョウシュウ</t>
    </rPh>
    <rPh sb="5" eb="7">
      <t>ウム</t>
    </rPh>
    <phoneticPr fontId="3"/>
  </si>
  <si>
    <t>[源泉徴収]</t>
    <rPh sb="1" eb="3">
      <t>ゲンセン</t>
    </rPh>
    <rPh sb="3" eb="5">
      <t>チョウシュウ</t>
    </rPh>
    <phoneticPr fontId="3"/>
  </si>
  <si>
    <t>□賃金・報酬データ</t>
    <rPh sb="1" eb="3">
      <t>チンギン</t>
    </rPh>
    <rPh sb="4" eb="6">
      <t>ホウシュウ</t>
    </rPh>
    <phoneticPr fontId="3"/>
  </si>
  <si>
    <t>職</t>
    <rPh sb="0" eb="1">
      <t>ショク</t>
    </rPh>
    <phoneticPr fontId="3"/>
  </si>
  <si>
    <t>1</t>
    <phoneticPr fontId="3"/>
  </si>
  <si>
    <t>研究代表者</t>
    <phoneticPr fontId="3"/>
  </si>
  <si>
    <t>予算詳細コード</t>
    <rPh sb="0" eb="2">
      <t>ヨサン</t>
    </rPh>
    <rPh sb="2" eb="4">
      <t>ショウサイ</t>
    </rPh>
    <phoneticPr fontId="3"/>
  </si>
  <si>
    <t>(ﾌﾘｶﾞﾅ)
氏名</t>
    <rPh sb="8" eb="10">
      <t>シメイ</t>
    </rPh>
    <phoneticPr fontId="3"/>
  </si>
  <si>
    <t>業務内容</t>
    <rPh sb="0" eb="2">
      <t>ギョウム</t>
    </rPh>
    <rPh sb="2" eb="4">
      <t>ナイヨウ</t>
    </rPh>
    <phoneticPr fontId="3"/>
  </si>
  <si>
    <r>
      <t>42050：</t>
    </r>
    <r>
      <rPr>
        <sz val="11"/>
        <rFont val="ＭＳ Ｐゴシック"/>
        <family val="3"/>
        <charset val="128"/>
      </rPr>
      <t xml:space="preserve"> </t>
    </r>
    <r>
      <rPr>
        <sz val="11"/>
        <rFont val="ＭＳ Ｐゴシック"/>
        <family val="3"/>
        <charset val="128"/>
      </rPr>
      <t>預り金（所得税）</t>
    </r>
    <rPh sb="7" eb="8">
      <t>アズカ</t>
    </rPh>
    <rPh sb="9" eb="10">
      <t>キン</t>
    </rPh>
    <rPh sb="11" eb="14">
      <t>ショトクゼイ</t>
    </rPh>
    <phoneticPr fontId="3"/>
  </si>
  <si>
    <t xml:space="preserve">業務内容  </t>
    <rPh sb="0" eb="2">
      <t>ギョウム</t>
    </rPh>
    <rPh sb="2" eb="4">
      <t>ナイヨウ</t>
    </rPh>
    <phoneticPr fontId="3"/>
  </si>
  <si>
    <t>取引番号(伝票番号)：</t>
    <rPh sb="0" eb="2">
      <t>トリヒキ</t>
    </rPh>
    <rPh sb="2" eb="4">
      <t>バンゴウ</t>
    </rPh>
    <rPh sb="5" eb="7">
      <t>デンピョウ</t>
    </rPh>
    <rPh sb="7" eb="9">
      <t>バンゴウ</t>
    </rPh>
    <phoneticPr fontId="3"/>
  </si>
  <si>
    <t>41515：預り金</t>
    <rPh sb="6" eb="7">
      <t>アズカ</t>
    </rPh>
    <rPh sb="8" eb="9">
      <t>キン</t>
    </rPh>
    <phoneticPr fontId="3"/>
  </si>
  <si>
    <t>（人件費・雇用保険）</t>
    <rPh sb="1" eb="3">
      <t>ジンケン</t>
    </rPh>
    <rPh sb="3" eb="4">
      <t>ヒ</t>
    </rPh>
    <rPh sb="5" eb="7">
      <t>コヨウ</t>
    </rPh>
    <rPh sb="7" eb="9">
      <t>ホケン</t>
    </rPh>
    <phoneticPr fontId="3"/>
  </si>
  <si>
    <t>41520：預り金</t>
    <rPh sb="6" eb="7">
      <t>アズカ</t>
    </rPh>
    <rPh sb="8" eb="9">
      <t>キン</t>
    </rPh>
    <phoneticPr fontId="3"/>
  </si>
  <si>
    <t>（人件費・所得税）</t>
    <phoneticPr fontId="3"/>
  </si>
  <si>
    <t>1,010,000円</t>
    <rPh sb="9" eb="10">
      <t>エン</t>
    </rPh>
    <phoneticPr fontId="3"/>
  </si>
  <si>
    <t>1,010,000円の場合の税額に、その月の社会保険料等控除後の給与等の金額のうち</t>
    <rPh sb="27" eb="28">
      <t>トウ</t>
    </rPh>
    <phoneticPr fontId="3"/>
  </si>
  <si>
    <t xml:space="preserve"> ない金額</t>
  </si>
  <si>
    <t xml:space="preserve"> </t>
  </si>
  <si>
    <t xml:space="preserve"> る金額</t>
  </si>
  <si>
    <t>賃金支払額：</t>
    <rPh sb="0" eb="2">
      <t>チンギン</t>
    </rPh>
    <rPh sb="2" eb="4">
      <t>シハライ</t>
    </rPh>
    <rPh sb="4" eb="5">
      <t>ガク</t>
    </rPh>
    <phoneticPr fontId="3"/>
  </si>
  <si>
    <t>源泉徴収額：</t>
    <rPh sb="0" eb="2">
      <t>ゲンセン</t>
    </rPh>
    <rPh sb="2" eb="4">
      <t>チョウシュウ</t>
    </rPh>
    <rPh sb="4" eb="5">
      <t>ガク</t>
    </rPh>
    <phoneticPr fontId="3"/>
  </si>
  <si>
    <t>教授</t>
    <rPh sb="0" eb="2">
      <t>キョウジュ</t>
    </rPh>
    <phoneticPr fontId="3"/>
  </si>
  <si>
    <t>准教授</t>
    <rPh sb="0" eb="1">
      <t>ジュン</t>
    </rPh>
    <rPh sb="1" eb="3">
      <t>キョウジュ</t>
    </rPh>
    <phoneticPr fontId="3"/>
  </si>
  <si>
    <t>助教</t>
    <rPh sb="0" eb="1">
      <t>スケ</t>
    </rPh>
    <rPh sb="1" eb="2">
      <t>キョウ</t>
    </rPh>
    <phoneticPr fontId="3"/>
  </si>
  <si>
    <t>特別研究員</t>
    <rPh sb="0" eb="2">
      <t>トクベツ</t>
    </rPh>
    <rPh sb="2" eb="5">
      <t>ケンキュウイン</t>
    </rPh>
    <phoneticPr fontId="3"/>
  </si>
  <si>
    <t>）</t>
    <phoneticPr fontId="3"/>
  </si>
  <si>
    <t>リサーチアシスタント（</t>
    <phoneticPr fontId="3"/>
  </si>
  <si>
    <t>客員教員（</t>
    <rPh sb="0" eb="2">
      <t>キャクイン</t>
    </rPh>
    <rPh sb="2" eb="4">
      <t>キョウイン</t>
    </rPh>
    <phoneticPr fontId="3"/>
  </si>
  <si>
    <t>特任教員（</t>
    <rPh sb="0" eb="1">
      <t>トク</t>
    </rPh>
    <rPh sb="1" eb="2">
      <t>ニン</t>
    </rPh>
    <rPh sb="2" eb="4">
      <t>キョウイン</t>
    </rPh>
    <phoneticPr fontId="3"/>
  </si>
  <si>
    <t>[職]</t>
    <rPh sb="1" eb="2">
      <t>ショク</t>
    </rPh>
    <phoneticPr fontId="3"/>
  </si>
  <si>
    <t>研究代表者</t>
    <rPh sb="0" eb="2">
      <t>ケンキュウ</t>
    </rPh>
    <rPh sb="2" eb="5">
      <t>ダイヒョウシャ</t>
    </rPh>
    <phoneticPr fontId="3"/>
  </si>
  <si>
    <t>賃金</t>
    <rPh sb="0" eb="2">
      <t>チンギン</t>
    </rPh>
    <phoneticPr fontId="3"/>
  </si>
  <si>
    <t>□会計管理課完了</t>
    <rPh sb="1" eb="3">
      <t>カイケイ</t>
    </rPh>
    <rPh sb="3" eb="6">
      <t>カンリカ</t>
    </rPh>
    <rPh sb="6" eb="8">
      <t>カンリョウ</t>
    </rPh>
    <phoneticPr fontId="3"/>
  </si>
  <si>
    <t>勤務時間数：</t>
    <rPh sb="0" eb="2">
      <t>キンム</t>
    </rPh>
    <rPh sb="2" eb="4">
      <t>ジカン</t>
    </rPh>
    <rPh sb="4" eb="5">
      <t>スウ</t>
    </rPh>
    <phoneticPr fontId="3"/>
  </si>
  <si>
    <t>勤務時間数</t>
    <rPh sb="0" eb="2">
      <t>キンム</t>
    </rPh>
    <rPh sb="2" eb="4">
      <t>ジカン</t>
    </rPh>
    <rPh sb="4" eb="5">
      <t>スウ</t>
    </rPh>
    <phoneticPr fontId="3"/>
  </si>
  <si>
    <t>都市教養学部（理系）</t>
    <rPh sb="0" eb="2">
      <t>トシ</t>
    </rPh>
    <rPh sb="2" eb="4">
      <t>キョウヨウ</t>
    </rPh>
    <rPh sb="4" eb="6">
      <t>ガクブ</t>
    </rPh>
    <rPh sb="7" eb="9">
      <t>リケイ</t>
    </rPh>
    <phoneticPr fontId="3"/>
  </si>
  <si>
    <t>入力用　</t>
  </si>
  <si>
    <t>雇用保険料の有無：</t>
    <rPh sb="0" eb="2">
      <t>コヨウ</t>
    </rPh>
    <rPh sb="2" eb="4">
      <t>ホケン</t>
    </rPh>
    <rPh sb="4" eb="5">
      <t>リョウ</t>
    </rPh>
    <rPh sb="6" eb="8">
      <t>ウム</t>
    </rPh>
    <phoneticPr fontId="3"/>
  </si>
  <si>
    <t>[雇用保険料]</t>
    <rPh sb="1" eb="3">
      <t>コヨウ</t>
    </rPh>
    <rPh sb="3" eb="5">
      <t>ホケン</t>
    </rPh>
    <rPh sb="5" eb="6">
      <t>リョウ</t>
    </rPh>
    <phoneticPr fontId="3"/>
  </si>
  <si>
    <t>★雇用保険の有無を選択★</t>
    <rPh sb="1" eb="3">
      <t>コヨウ</t>
    </rPh>
    <rPh sb="3" eb="5">
      <t>ホケン</t>
    </rPh>
    <rPh sb="6" eb="8">
      <t>ウム</t>
    </rPh>
    <rPh sb="9" eb="11">
      <t>センタク</t>
    </rPh>
    <phoneticPr fontId="3"/>
  </si>
  <si>
    <t>無し</t>
    <rPh sb="0" eb="1">
      <t>ナ</t>
    </rPh>
    <phoneticPr fontId="3"/>
  </si>
  <si>
    <t>有り</t>
    <rPh sb="0" eb="1">
      <t>ア</t>
    </rPh>
    <phoneticPr fontId="3"/>
  </si>
  <si>
    <t>雇用保険額：</t>
    <rPh sb="0" eb="2">
      <t>コヨウ</t>
    </rPh>
    <rPh sb="2" eb="4">
      <t>ホケン</t>
    </rPh>
    <rPh sb="4" eb="5">
      <t>ガク</t>
    </rPh>
    <phoneticPr fontId="3"/>
  </si>
  <si>
    <t>（コード）</t>
    <phoneticPr fontId="3"/>
  </si>
  <si>
    <t>有り（3ヶ月以上）</t>
    <rPh sb="0" eb="1">
      <t>ア</t>
    </rPh>
    <rPh sb="5" eb="6">
      <t>ゲツ</t>
    </rPh>
    <rPh sb="6" eb="8">
      <t>イジョウ</t>
    </rPh>
    <phoneticPr fontId="3"/>
  </si>
  <si>
    <t>賃金の支出</t>
    <rPh sb="0" eb="2">
      <t>チンギン</t>
    </rPh>
    <rPh sb="3" eb="5">
      <t>シシュツ</t>
    </rPh>
    <phoneticPr fontId="3"/>
  </si>
  <si>
    <t>執行科目</t>
    <rPh sb="0" eb="2">
      <t>シッコウ</t>
    </rPh>
    <rPh sb="2" eb="4">
      <t>カモク</t>
    </rPh>
    <phoneticPr fontId="3"/>
  </si>
  <si>
    <t>謝金等　</t>
    <rPh sb="0" eb="2">
      <t>シャキン</t>
    </rPh>
    <rPh sb="2" eb="3">
      <t>トウ</t>
    </rPh>
    <phoneticPr fontId="3"/>
  </si>
  <si>
    <t>取引区分</t>
    <rPh sb="0" eb="2">
      <t>トリヒキ</t>
    </rPh>
    <rPh sb="2" eb="4">
      <t>クブン</t>
    </rPh>
    <phoneticPr fontId="3"/>
  </si>
  <si>
    <t>口座振込（賃金）　　</t>
    <rPh sb="0" eb="2">
      <t>コウザ</t>
    </rPh>
    <rPh sb="2" eb="4">
      <t>フリコミ</t>
    </rPh>
    <rPh sb="5" eb="7">
      <t>チンギン</t>
    </rPh>
    <phoneticPr fontId="3"/>
  </si>
  <si>
    <t>支出予定年月日</t>
    <rPh sb="0" eb="2">
      <t>シシュツ</t>
    </rPh>
    <rPh sb="2" eb="4">
      <t>ヨテイ</t>
    </rPh>
    <rPh sb="4" eb="7">
      <t>ネンガッピ</t>
    </rPh>
    <phoneticPr fontId="3"/>
  </si>
  <si>
    <t>平成　　　　年　　　　月　　　　日</t>
    <rPh sb="0" eb="2">
      <t>ヘイセイ</t>
    </rPh>
    <rPh sb="6" eb="7">
      <t>ネン</t>
    </rPh>
    <rPh sb="11" eb="12">
      <t>ガツ</t>
    </rPh>
    <rPh sb="16" eb="17">
      <t>ニチ</t>
    </rPh>
    <phoneticPr fontId="3"/>
  </si>
  <si>
    <t>決　定　者</t>
    <rPh sb="0" eb="1">
      <t>ケツ</t>
    </rPh>
    <rPh sb="2" eb="3">
      <t>サダム</t>
    </rPh>
    <rPh sb="4" eb="5">
      <t>シャ</t>
    </rPh>
    <phoneticPr fontId="3"/>
  </si>
  <si>
    <t>担当者</t>
    <rPh sb="0" eb="2">
      <t>タントウ</t>
    </rPh>
    <rPh sb="2" eb="3">
      <t>シャ</t>
    </rPh>
    <phoneticPr fontId="3"/>
  </si>
  <si>
    <t>例：3-B</t>
    <rPh sb="0" eb="1">
      <t>レイ</t>
    </rPh>
    <phoneticPr fontId="3"/>
  </si>
  <si>
    <t>2</t>
    <phoneticPr fontId="3"/>
  </si>
  <si>
    <t>3-A</t>
    <phoneticPr fontId="3"/>
  </si>
  <si>
    <t>3-B</t>
    <phoneticPr fontId="3"/>
  </si>
  <si>
    <t>研究種別</t>
    <rPh sb="0" eb="2">
      <t>ケンキュウ</t>
    </rPh>
    <rPh sb="2" eb="4">
      <t>シュベツ</t>
    </rPh>
    <phoneticPr fontId="3"/>
  </si>
  <si>
    <t>氏名</t>
    <rPh sb="0" eb="2">
      <t>シメイ</t>
    </rPh>
    <phoneticPr fontId="3"/>
  </si>
  <si>
    <t>暫定的計算シート</t>
    <rPh sb="0" eb="2">
      <t>ザンテイ</t>
    </rPh>
    <rPh sb="2" eb="3">
      <t>テキ</t>
    </rPh>
    <rPh sb="3" eb="5">
      <t>ケイサン</t>
    </rPh>
    <phoneticPr fontId="3"/>
  </si>
  <si>
    <t>本来、「日額丙欄適用」の場合は,日々の税額計算を行い、その合計額を控除する必要がある。</t>
    <rPh sb="0" eb="2">
      <t>ホンライ</t>
    </rPh>
    <rPh sb="4" eb="6">
      <t>ニチガク</t>
    </rPh>
    <rPh sb="6" eb="7">
      <t>ヘイ</t>
    </rPh>
    <rPh sb="7" eb="8">
      <t>ラン</t>
    </rPh>
    <rPh sb="8" eb="10">
      <t>テキヨウ</t>
    </rPh>
    <rPh sb="12" eb="14">
      <t>バアイ</t>
    </rPh>
    <rPh sb="16" eb="18">
      <t>ヒビ</t>
    </rPh>
    <rPh sb="19" eb="21">
      <t>ゼイガク</t>
    </rPh>
    <rPh sb="21" eb="23">
      <t>ケイサン</t>
    </rPh>
    <rPh sb="24" eb="25">
      <t>オコナ</t>
    </rPh>
    <rPh sb="29" eb="32">
      <t>ゴウケイガク</t>
    </rPh>
    <rPh sb="33" eb="35">
      <t>コウジョ</t>
    </rPh>
    <rPh sb="37" eb="39">
      <t>ヒツヨウ</t>
    </rPh>
    <phoneticPr fontId="3"/>
  </si>
  <si>
    <t>そのため、暫定的にその日数を計上すれば、控除額の自動計算ができる。</t>
    <rPh sb="5" eb="8">
      <t>ザンテイテキ</t>
    </rPh>
    <rPh sb="11" eb="13">
      <t>ニッスウ</t>
    </rPh>
    <rPh sb="14" eb="16">
      <t>ケイジョウ</t>
    </rPh>
    <rPh sb="20" eb="23">
      <t>コウジョガク</t>
    </rPh>
    <rPh sb="24" eb="26">
      <t>ジドウ</t>
    </rPh>
    <rPh sb="26" eb="28">
      <t>ケイサン</t>
    </rPh>
    <phoneticPr fontId="3"/>
  </si>
  <si>
    <t>税額単価</t>
    <rPh sb="0" eb="2">
      <t>ゼイガク</t>
    </rPh>
    <rPh sb="2" eb="4">
      <t>タンカ</t>
    </rPh>
    <phoneticPr fontId="3"/>
  </si>
  <si>
    <t>→</t>
    <phoneticPr fontId="3"/>
  </si>
  <si>
    <t>決定区分</t>
    <rPh sb="0" eb="2">
      <t>ケッテイ</t>
    </rPh>
    <rPh sb="2" eb="4">
      <t>クブン</t>
    </rPh>
    <phoneticPr fontId="3"/>
  </si>
  <si>
    <t>会計年度</t>
    <rPh sb="0" eb="2">
      <t>カイケイ</t>
    </rPh>
    <rPh sb="2" eb="4">
      <t>ネンド</t>
    </rPh>
    <phoneticPr fontId="3"/>
  </si>
  <si>
    <r>
      <t>受入備考</t>
    </r>
    <r>
      <rPr>
        <sz val="6"/>
        <rFont val="ＭＳ Ｐゴシック"/>
        <family val="3"/>
        <charset val="128"/>
      </rPr>
      <t>(コード)</t>
    </r>
    <rPh sb="0" eb="2">
      <t>ウケイレ</t>
    </rPh>
    <rPh sb="2" eb="4">
      <t>ビコウ</t>
    </rPh>
    <phoneticPr fontId="3"/>
  </si>
  <si>
    <t>無し（2ヶ月以内）</t>
    <rPh sb="0" eb="1">
      <t>ナ</t>
    </rPh>
    <rPh sb="5" eb="6">
      <t>ゲツ</t>
    </rPh>
    <rPh sb="6" eb="8">
      <t>イナイ</t>
    </rPh>
    <phoneticPr fontId="3"/>
  </si>
  <si>
    <t>有り（2ヶ月以内）</t>
    <rPh sb="0" eb="1">
      <t>ア</t>
    </rPh>
    <rPh sb="5" eb="6">
      <t>ゲツ</t>
    </rPh>
    <rPh sb="6" eb="8">
      <t>イナイ</t>
    </rPh>
    <phoneticPr fontId="3"/>
  </si>
  <si>
    <t>〔賃金の支払〕</t>
    <rPh sb="1" eb="3">
      <t>チンギン</t>
    </rPh>
    <rPh sb="4" eb="6">
      <t>シハライ</t>
    </rPh>
    <phoneticPr fontId="3"/>
  </si>
  <si>
    <t>件名</t>
    <phoneticPr fontId="3"/>
  </si>
  <si>
    <t>不課税</t>
    <rPh sb="0" eb="1">
      <t>フ</t>
    </rPh>
    <rPh sb="1" eb="3">
      <t>カゼイ</t>
    </rPh>
    <phoneticPr fontId="3"/>
  </si>
  <si>
    <r>
      <t>受入備考</t>
    </r>
    <r>
      <rPr>
        <sz val="6"/>
        <rFont val="ＭＳ Ｐゴシック"/>
        <family val="3"/>
        <charset val="128"/>
      </rPr>
      <t>(表示)</t>
    </r>
    <rPh sb="0" eb="2">
      <t>ウケイレ</t>
    </rPh>
    <rPh sb="2" eb="4">
      <t>ビコウ</t>
    </rPh>
    <rPh sb="5" eb="7">
      <t>ヒョウジ</t>
    </rPh>
    <phoneticPr fontId="3"/>
  </si>
  <si>
    <t>調査（係長）</t>
    <rPh sb="0" eb="2">
      <t>チョウサ</t>
    </rPh>
    <rPh sb="3" eb="5">
      <t>カカリチョウ</t>
    </rPh>
    <phoneticPr fontId="3"/>
  </si>
  <si>
    <t>課長</t>
    <rPh sb="0" eb="2">
      <t>カチョウ</t>
    </rPh>
    <phoneticPr fontId="3"/>
  </si>
  <si>
    <t>都市教養学部（理系）</t>
    <rPh sb="0" eb="1">
      <t>ト</t>
    </rPh>
    <rPh sb="1" eb="2">
      <t>シ</t>
    </rPh>
    <rPh sb="2" eb="4">
      <t>キョウヨウ</t>
    </rPh>
    <rPh sb="4" eb="6">
      <t>ガクブ</t>
    </rPh>
    <rPh sb="7" eb="9">
      <t>リケイ</t>
    </rPh>
    <phoneticPr fontId="3"/>
  </si>
  <si>
    <t>支給日：　</t>
    <rPh sb="0" eb="3">
      <t>シキュウビ</t>
    </rPh>
    <phoneticPr fontId="3"/>
  </si>
  <si>
    <t>勤務時間数</t>
    <rPh sb="0" eb="2">
      <t>キンム</t>
    </rPh>
    <rPh sb="2" eb="5">
      <t>ジカンスウ</t>
    </rPh>
    <phoneticPr fontId="3"/>
  </si>
  <si>
    <t>支払予定日</t>
    <rPh sb="0" eb="2">
      <t>シハラ</t>
    </rPh>
    <rPh sb="2" eb="5">
      <t>ヨテイビ</t>
    </rPh>
    <phoneticPr fontId="3"/>
  </si>
  <si>
    <t>その月の初日(一日）→　</t>
    <rPh sb="2" eb="3">
      <t>ツキ</t>
    </rPh>
    <rPh sb="4" eb="5">
      <t>ショ</t>
    </rPh>
    <rPh sb="5" eb="6">
      <t>ニチ</t>
    </rPh>
    <rPh sb="7" eb="9">
      <t>ツイタチ</t>
    </rPh>
    <phoneticPr fontId="3"/>
  </si>
  <si>
    <t>その月の最終勤務日→　</t>
    <rPh sb="2" eb="3">
      <t>ツキ</t>
    </rPh>
    <rPh sb="4" eb="6">
      <t>サイシュウ</t>
    </rPh>
    <rPh sb="6" eb="9">
      <t>キンムビ</t>
    </rPh>
    <phoneticPr fontId="3"/>
  </si>
  <si>
    <t>支払予定日（源泉分）</t>
    <rPh sb="0" eb="2">
      <t>シハラ</t>
    </rPh>
    <rPh sb="2" eb="5">
      <t>ヨテイビ</t>
    </rPh>
    <rPh sb="6" eb="9">
      <t>ゲンセンブン</t>
    </rPh>
    <phoneticPr fontId="3"/>
  </si>
  <si>
    <t>勤務実績（年・月）</t>
    <rPh sb="0" eb="2">
      <t>キンム</t>
    </rPh>
    <rPh sb="2" eb="4">
      <t>ジッセキ</t>
    </rPh>
    <rPh sb="5" eb="6">
      <t>ネン</t>
    </rPh>
    <rPh sb="7" eb="8">
      <t>ゲツ</t>
    </rPh>
    <phoneticPr fontId="3"/>
  </si>
  <si>
    <t>伝票日付(勤務最終日）</t>
    <rPh sb="0" eb="2">
      <t>デンピョウ</t>
    </rPh>
    <rPh sb="2" eb="4">
      <t>ヒヅケ</t>
    </rPh>
    <rPh sb="5" eb="7">
      <t>キンム</t>
    </rPh>
    <rPh sb="7" eb="10">
      <t>サイシュウビ</t>
    </rPh>
    <phoneticPr fontId="3"/>
  </si>
  <si>
    <t>ただし、平成24年度現在、法人の臨時職員賃金雇用制度では、①超過勤務なし、②1時間未満の端数勤務なし、</t>
    <rPh sb="4" eb="6">
      <t>ヘイセイ</t>
    </rPh>
    <rPh sb="8" eb="10">
      <t>ネンド</t>
    </rPh>
    <rPh sb="10" eb="12">
      <t>ゲンザイ</t>
    </rPh>
    <rPh sb="13" eb="15">
      <t>ホウジン</t>
    </rPh>
    <rPh sb="16" eb="18">
      <t>リンジ</t>
    </rPh>
    <rPh sb="18" eb="20">
      <t>ショクイン</t>
    </rPh>
    <rPh sb="20" eb="22">
      <t>チンギン</t>
    </rPh>
    <rPh sb="22" eb="24">
      <t>コヨウ</t>
    </rPh>
    <rPh sb="24" eb="26">
      <t>セイド</t>
    </rPh>
    <rPh sb="30" eb="32">
      <t>チョウカ</t>
    </rPh>
    <rPh sb="32" eb="34">
      <t>キンム</t>
    </rPh>
    <rPh sb="39" eb="41">
      <t>ジカン</t>
    </rPh>
    <rPh sb="41" eb="43">
      <t>ミマン</t>
    </rPh>
    <rPh sb="44" eb="46">
      <t>ハスウ</t>
    </rPh>
    <rPh sb="46" eb="48">
      <t>キンム</t>
    </rPh>
    <phoneticPr fontId="3"/>
  </si>
  <si>
    <t>であるため、課税となるのは、「単価1,240円×7時間45分=9,610円」の場合のみである。(理系エリアで通常想定される単価設定)</t>
    <rPh sb="6" eb="8">
      <t>カゼイ</t>
    </rPh>
    <rPh sb="29" eb="30">
      <t>フン</t>
    </rPh>
    <rPh sb="39" eb="41">
      <t>バアイ</t>
    </rPh>
    <rPh sb="48" eb="50">
      <t>リケイ</t>
    </rPh>
    <rPh sb="54" eb="56">
      <t>ツウジョウ</t>
    </rPh>
    <rPh sb="56" eb="58">
      <t>ソウテイ</t>
    </rPh>
    <rPh sb="61" eb="63">
      <t>タンカ</t>
    </rPh>
    <rPh sb="63" eb="65">
      <t>セッテイ</t>
    </rPh>
    <phoneticPr fontId="3"/>
  </si>
  <si>
    <t>その月の社会保険料等控除後の給与等の金額の3.063％に相当する金額</t>
    <phoneticPr fontId="3"/>
  </si>
  <si>
    <t xml:space="preserve"> 1,010,000円を超え</t>
    <phoneticPr fontId="3"/>
  </si>
  <si>
    <t xml:space="preserve"> 1,250,000円に満た</t>
    <phoneticPr fontId="3"/>
  </si>
  <si>
    <t xml:space="preserve"> 1,250,000円を超え</t>
    <phoneticPr fontId="3"/>
  </si>
  <si>
    <t>1,250,000円の場合の税額に、その月の社会保険料等控除後の給与等の金額のうち</t>
    <rPh sb="27" eb="28">
      <t>トウ</t>
    </rPh>
    <phoneticPr fontId="3"/>
  </si>
  <si>
    <t xml:space="preserve"> 1,740,000円に満た</t>
    <phoneticPr fontId="3"/>
  </si>
  <si>
    <t>1,740,000円</t>
    <phoneticPr fontId="3"/>
  </si>
  <si>
    <t>従たる給与についての扶養控除等申告書が提出されている場合には、当該申告書に記載された扶養親族等の数に応じ、扶養親族等１人ごとに1,610円を、上の各欄によって求めた税額から控除した金額</t>
    <phoneticPr fontId="3"/>
  </si>
  <si>
    <r>
      <t>実績で、
単価1,2４0円×7時間45分=9,610円
となっている</t>
    </r>
    <r>
      <rPr>
        <b/>
        <sz val="10"/>
        <color indexed="10"/>
        <rFont val="ＭＳ Ｐゴシック"/>
        <family val="3"/>
        <charset val="128"/>
      </rPr>
      <t>日数</t>
    </r>
    <r>
      <rPr>
        <sz val="10"/>
        <rFont val="ＭＳ Ｐゴシック"/>
        <family val="3"/>
        <charset val="128"/>
      </rPr>
      <t>を入れること。</t>
    </r>
    <rPh sb="0" eb="2">
      <t>ジッセキ</t>
    </rPh>
    <rPh sb="5" eb="7">
      <t>タンカ</t>
    </rPh>
    <rPh sb="12" eb="13">
      <t>エン</t>
    </rPh>
    <rPh sb="15" eb="17">
      <t>ジカン</t>
    </rPh>
    <rPh sb="19" eb="20">
      <t>フン</t>
    </rPh>
    <rPh sb="26" eb="27">
      <t>エン</t>
    </rPh>
    <rPh sb="34" eb="36">
      <t>ニッスウ</t>
    </rPh>
    <rPh sb="37" eb="38">
      <t>イ</t>
    </rPh>
    <phoneticPr fontId="3"/>
  </si>
  <si>
    <t>平成２６年度</t>
    <rPh sb="0" eb="2">
      <t>ヘイセイ</t>
    </rPh>
    <rPh sb="4" eb="6">
      <t>ネンド</t>
    </rPh>
    <phoneticPr fontId="3"/>
  </si>
  <si>
    <t>26首都大管理管臨第</t>
    <phoneticPr fontId="3"/>
  </si>
  <si>
    <t>H26</t>
    <phoneticPr fontId="3"/>
  </si>
  <si>
    <t>通勤費用(往復)</t>
    <rPh sb="0" eb="2">
      <t>ツウキン</t>
    </rPh>
    <rPh sb="2" eb="4">
      <t>ヒヨウ</t>
    </rPh>
    <rPh sb="5" eb="7">
      <t>オウフク</t>
    </rPh>
    <phoneticPr fontId="3"/>
  </si>
  <si>
    <t>担当者氏名</t>
    <rPh sb="0" eb="2">
      <t>タントウ</t>
    </rPh>
    <rPh sb="2" eb="3">
      <t>シャ</t>
    </rPh>
    <rPh sb="3" eb="5">
      <t>シメイ</t>
    </rPh>
    <phoneticPr fontId="3"/>
  </si>
  <si>
    <t>通勤手当</t>
    <rPh sb="0" eb="2">
      <t>ツウキン</t>
    </rPh>
    <rPh sb="2" eb="4">
      <t>テアテ</t>
    </rPh>
    <phoneticPr fontId="3"/>
  </si>
  <si>
    <t>課税区分</t>
    <rPh sb="0" eb="2">
      <t>カゼイ</t>
    </rPh>
    <rPh sb="2" eb="4">
      <t>クブン</t>
    </rPh>
    <phoneticPr fontId="3"/>
  </si>
  <si>
    <t>負担部門</t>
    <phoneticPr fontId="3"/>
  </si>
  <si>
    <t>予算科目</t>
    <phoneticPr fontId="3"/>
  </si>
  <si>
    <t>予算詳細</t>
    <phoneticPr fontId="3"/>
  </si>
  <si>
    <t>財源</t>
    <phoneticPr fontId="3"/>
  </si>
  <si>
    <t>業務区分</t>
    <rPh sb="0" eb="2">
      <t>ギョウム</t>
    </rPh>
    <rPh sb="2" eb="4">
      <t>クブン</t>
    </rPh>
    <phoneticPr fontId="3"/>
  </si>
  <si>
    <t>適用・項</t>
    <rPh sb="0" eb="2">
      <t>テキヨウ</t>
    </rPh>
    <rPh sb="3" eb="4">
      <t>コウ</t>
    </rPh>
    <phoneticPr fontId="3"/>
  </si>
  <si>
    <t>適用・目</t>
    <rPh sb="0" eb="2">
      <t>テキヨウ</t>
    </rPh>
    <rPh sb="3" eb="4">
      <t>メ</t>
    </rPh>
    <phoneticPr fontId="3"/>
  </si>
  <si>
    <t>作業場所</t>
    <rPh sb="0" eb="2">
      <t>サギョウ</t>
    </rPh>
    <rPh sb="2" eb="4">
      <t>バショ</t>
    </rPh>
    <phoneticPr fontId="3"/>
  </si>
  <si>
    <t>金額</t>
    <rPh sb="0" eb="2">
      <t>キンガク</t>
    </rPh>
    <phoneticPr fontId="3"/>
  </si>
  <si>
    <t>課税</t>
    <rPh sb="0" eb="2">
      <t>カゼイ</t>
    </rPh>
    <phoneticPr fontId="3"/>
  </si>
  <si>
    <t>26首都大管理管臨第　　</t>
    <phoneticPr fontId="3"/>
  </si>
  <si>
    <t>64061：通勤手当（非職員）</t>
    <rPh sb="6" eb="8">
      <t>ツウキン</t>
    </rPh>
    <rPh sb="8" eb="10">
      <t>テアテ</t>
    </rPh>
    <rPh sb="11" eb="12">
      <t>ヒ</t>
    </rPh>
    <rPh sb="12" eb="14">
      <t>ショクイン</t>
    </rPh>
    <phoneticPr fontId="3"/>
  </si>
  <si>
    <r>
      <t xml:space="preserve">64090： </t>
    </r>
    <r>
      <rPr>
        <sz val="11"/>
        <rFont val="ＭＳ Ｐゴシック"/>
        <family val="3"/>
        <charset val="128"/>
      </rPr>
      <t>アルバイト</t>
    </r>
    <phoneticPr fontId="3"/>
  </si>
  <si>
    <r>
      <t xml:space="preserve">640：  </t>
    </r>
    <r>
      <rPr>
        <sz val="11"/>
        <rFont val="ＭＳ Ｐゴシック"/>
        <family val="3"/>
        <charset val="128"/>
      </rPr>
      <t>費用（人件費）</t>
    </r>
    <phoneticPr fontId="3"/>
  </si>
  <si>
    <r>
      <t xml:space="preserve">640： </t>
    </r>
    <r>
      <rPr>
        <sz val="11"/>
        <rFont val="ＭＳ Ｐゴシック"/>
        <family val="3"/>
        <charset val="128"/>
      </rPr>
      <t>費用（人件費）</t>
    </r>
    <phoneticPr fontId="3"/>
  </si>
  <si>
    <r>
      <t xml:space="preserve">42： </t>
    </r>
    <r>
      <rPr>
        <sz val="11"/>
        <rFont val="ＭＳ Ｐゴシック"/>
        <family val="3"/>
        <charset val="128"/>
      </rPr>
      <t>預り金人件費</t>
    </r>
    <rPh sb="4" eb="5">
      <t>アズカ</t>
    </rPh>
    <rPh sb="6" eb="7">
      <t>キン</t>
    </rPh>
    <rPh sb="7" eb="10">
      <t>ジンケンヒ</t>
    </rPh>
    <phoneticPr fontId="3"/>
  </si>
  <si>
    <t>　　　　　理系管理課長　　　　　係長　　　　　　担当者</t>
    <rPh sb="5" eb="7">
      <t>リケイ</t>
    </rPh>
    <rPh sb="7" eb="9">
      <t>カンリ</t>
    </rPh>
    <rPh sb="9" eb="11">
      <t>カチョウ</t>
    </rPh>
    <rPh sb="16" eb="18">
      <t>カカリチョウ</t>
    </rPh>
    <rPh sb="24" eb="27">
      <t>タントウシャ</t>
    </rPh>
    <phoneticPr fontId="3"/>
  </si>
  <si>
    <t>した臨時職員について、右のとおり賃金の支払を決定する。</t>
    <rPh sb="2" eb="4">
      <t>リンジ</t>
    </rPh>
    <rPh sb="11" eb="12">
      <t>ミギ</t>
    </rPh>
    <phoneticPr fontId="3"/>
  </si>
  <si>
    <t>支払予定日(源泉分)</t>
    <rPh sb="0" eb="2">
      <t>シハラ</t>
    </rPh>
    <rPh sb="2" eb="5">
      <t>ヨテイビ</t>
    </rPh>
    <rPh sb="6" eb="8">
      <t>ゲンセン</t>
    </rPh>
    <rPh sb="8" eb="9">
      <t>ブン</t>
    </rPh>
    <phoneticPr fontId="3"/>
  </si>
  <si>
    <t>通勤手当：</t>
    <rPh sb="0" eb="2">
      <t>ツウキン</t>
    </rPh>
    <rPh sb="2" eb="4">
      <t>テアテ</t>
    </rPh>
    <phoneticPr fontId="3"/>
  </si>
  <si>
    <t>総支給額：</t>
    <rPh sb="0" eb="1">
      <t>ソウ</t>
    </rPh>
    <rPh sb="1" eb="4">
      <t>シキュウガク</t>
    </rPh>
    <phoneticPr fontId="3"/>
  </si>
  <si>
    <t>差引支給額</t>
    <rPh sb="0" eb="2">
      <t>サシヒキ</t>
    </rPh>
    <rPh sb="2" eb="4">
      <t>シキュウ</t>
    </rPh>
    <rPh sb="4" eb="5">
      <t>ガク</t>
    </rPh>
    <phoneticPr fontId="3"/>
  </si>
  <si>
    <t>差引支給額：</t>
    <rPh sb="0" eb="1">
      <t>サ</t>
    </rPh>
    <rPh sb="1" eb="2">
      <t>ヒ</t>
    </rPh>
    <rPh sb="2" eb="4">
      <t>シキュウ</t>
    </rPh>
    <rPh sb="4" eb="5">
      <t>ガク</t>
    </rPh>
    <phoneticPr fontId="3"/>
  </si>
  <si>
    <t>(賃金-雇用保険）</t>
    <rPh sb="1" eb="3">
      <t>チンギン</t>
    </rPh>
    <rPh sb="4" eb="6">
      <t>コヨウ</t>
    </rPh>
    <rPh sb="6" eb="8">
      <t>ホケン</t>
    </rPh>
    <phoneticPr fontId="3"/>
  </si>
  <si>
    <t>賃金</t>
    <rPh sb="0" eb="1">
      <t>チン</t>
    </rPh>
    <rPh sb="1" eb="2">
      <t>キン</t>
    </rPh>
    <phoneticPr fontId="3"/>
  </si>
  <si>
    <t>首都大学東京管理部理系管理課</t>
    <rPh sb="0" eb="2">
      <t>シュト</t>
    </rPh>
    <rPh sb="2" eb="4">
      <t>ダイガク</t>
    </rPh>
    <rPh sb="4" eb="6">
      <t>トウキョウ</t>
    </rPh>
    <rPh sb="6" eb="8">
      <t>カンリ</t>
    </rPh>
    <rPh sb="8" eb="9">
      <t>ブ</t>
    </rPh>
    <rPh sb="9" eb="11">
      <t>リケイ</t>
    </rPh>
    <rPh sb="11" eb="13">
      <t>カンリ</t>
    </rPh>
    <rPh sb="13" eb="14">
      <t>カ</t>
    </rPh>
    <phoneticPr fontId="3"/>
  </si>
  <si>
    <t>口座振込額</t>
    <rPh sb="0" eb="2">
      <t>コウザ</t>
    </rPh>
    <rPh sb="2" eb="4">
      <t>フリコミ</t>
    </rPh>
    <rPh sb="4" eb="5">
      <t>ガク</t>
    </rPh>
    <phoneticPr fontId="3"/>
  </si>
  <si>
    <t>上記の金額を支給する。</t>
    <rPh sb="0" eb="2">
      <t>ジョウキ</t>
    </rPh>
    <rPh sb="3" eb="5">
      <t>キンガク</t>
    </rPh>
    <rPh sb="6" eb="8">
      <t>シキュウ</t>
    </rPh>
    <phoneticPr fontId="3"/>
  </si>
  <si>
    <t>支給金額計</t>
    <rPh sb="0" eb="2">
      <t>シキュウ</t>
    </rPh>
    <rPh sb="2" eb="3">
      <t>キン</t>
    </rPh>
    <rPh sb="3" eb="4">
      <t>ガク</t>
    </rPh>
    <rPh sb="4" eb="5">
      <t>ケイ</t>
    </rPh>
    <phoneticPr fontId="3"/>
  </si>
  <si>
    <t>控除金額計</t>
    <rPh sb="0" eb="2">
      <t>コウジョ</t>
    </rPh>
    <rPh sb="2" eb="4">
      <t>キンガク</t>
    </rPh>
    <rPh sb="4" eb="5">
      <t>ケイ</t>
    </rPh>
    <phoneticPr fontId="3"/>
  </si>
  <si>
    <t>※※※※※※※※※※※※※※※※※※※※※※※※※※※※※※※※※※※※※※※※※※※※※※※※※※※※※※※※※※※※※※※※※※※※※※※※※※※※※※※※※※※※※※※※※※</t>
    <phoneticPr fontId="3"/>
  </si>
  <si>
    <t>（お問い合せ先）</t>
    <rPh sb="2" eb="3">
      <t>ト</t>
    </rPh>
    <rPh sb="4" eb="5">
      <t>ア</t>
    </rPh>
    <rPh sb="6" eb="7">
      <t>サキ</t>
    </rPh>
    <phoneticPr fontId="3"/>
  </si>
  <si>
    <t>電話：042-677-2692（庶務係），2443（会計係）</t>
    <rPh sb="0" eb="2">
      <t>デンワ</t>
    </rPh>
    <rPh sb="16" eb="18">
      <t>ショム</t>
    </rPh>
    <rPh sb="18" eb="19">
      <t>カカリ</t>
    </rPh>
    <rPh sb="26" eb="28">
      <t>カイケイ</t>
    </rPh>
    <rPh sb="28" eb="29">
      <t>カカリ</t>
    </rPh>
    <phoneticPr fontId="3"/>
  </si>
  <si>
    <t>通勤費用
（１日往復）</t>
    <rPh sb="8" eb="10">
      <t>オウフク</t>
    </rPh>
    <phoneticPr fontId="3"/>
  </si>
  <si>
    <t>雇用保険料</t>
    <rPh sb="0" eb="2">
      <t>コヨウ</t>
    </rPh>
    <rPh sb="2" eb="4">
      <t>ホケン</t>
    </rPh>
    <rPh sb="4" eb="5">
      <t>リョウ</t>
    </rPh>
    <phoneticPr fontId="3"/>
  </si>
  <si>
    <t>所得税</t>
    <rPh sb="0" eb="3">
      <t>ショトクゼイ</t>
    </rPh>
    <phoneticPr fontId="3"/>
  </si>
  <si>
    <t>平成　２６　年　　　月分</t>
    <phoneticPr fontId="3"/>
  </si>
  <si>
    <t>通勤費用
（１日往復）</t>
    <rPh sb="0" eb="2">
      <t>ツウキン</t>
    </rPh>
    <rPh sb="2" eb="4">
      <t>ヒヨウ</t>
    </rPh>
    <rPh sb="7" eb="8">
      <t>ニチ</t>
    </rPh>
    <rPh sb="8" eb="10">
      <t>オウフク</t>
    </rPh>
    <phoneticPr fontId="3"/>
  </si>
  <si>
    <t>※※※※※※※※※※※※※※※※※※※※※※※※※※※※※※※※※※※※※※※※※※※※※※※※※※※※※※※※※※※※※※※※※※※※※※※※※※※※※※※※※※※※※※※※※※</t>
    <phoneticPr fontId="3"/>
  </si>
  <si>
    <t>通勤費用(片道)</t>
    <rPh sb="0" eb="2">
      <t>ツウキン</t>
    </rPh>
    <rPh sb="2" eb="4">
      <t>ヒヨウ</t>
    </rPh>
    <rPh sb="5" eb="7">
      <t>カタミチ</t>
    </rPh>
    <phoneticPr fontId="3"/>
  </si>
  <si>
    <t>通勤手当（1日・片道分）</t>
    <rPh sb="0" eb="2">
      <t>ツウキン</t>
    </rPh>
    <rPh sb="2" eb="4">
      <t>テアテ</t>
    </rPh>
    <rPh sb="6" eb="7">
      <t>ニチ</t>
    </rPh>
    <rPh sb="8" eb="10">
      <t>カタミチ</t>
    </rPh>
    <rPh sb="10" eb="11">
      <t>ブン</t>
    </rPh>
    <phoneticPr fontId="3"/>
  </si>
  <si>
    <t>[通勤手当　課税]</t>
    <rPh sb="1" eb="3">
      <t>ツウキン</t>
    </rPh>
    <rPh sb="3" eb="5">
      <t>テアテ</t>
    </rPh>
    <rPh sb="6" eb="8">
      <t>カゼイ</t>
    </rPh>
    <phoneticPr fontId="3"/>
  </si>
  <si>
    <t>★課税の種類を選択★</t>
    <rPh sb="1" eb="3">
      <t>カゼイ</t>
    </rPh>
    <rPh sb="4" eb="6">
      <t>シュルイ</t>
    </rPh>
    <rPh sb="7" eb="9">
      <t>センタク</t>
    </rPh>
    <phoneticPr fontId="3"/>
  </si>
  <si>
    <t>70:課税</t>
    <rPh sb="3" eb="5">
      <t>カゼイ</t>
    </rPh>
    <phoneticPr fontId="3"/>
  </si>
  <si>
    <t>50:課税</t>
    <rPh sb="3" eb="5">
      <t>カゼイ</t>
    </rPh>
    <phoneticPr fontId="3"/>
  </si>
  <si>
    <t>給与所得の源泉徴収税額表（平成27年分）</t>
    <rPh sb="18" eb="19">
      <t>ブン</t>
    </rPh>
    <phoneticPr fontId="3"/>
  </si>
  <si>
    <r>
      <t>月　額　表</t>
    </r>
    <r>
      <rPr>
        <sz val="14"/>
        <rFont val="ＭＳ Ｐゴシック"/>
        <family val="3"/>
        <charset val="128"/>
      </rPr>
      <t>（平成24年３月31日財務省告示第115号別表第一</t>
    </r>
    <r>
      <rPr>
        <sz val="12"/>
        <rFont val="ＭＳ Ｐゴシック"/>
        <family val="3"/>
        <charset val="128"/>
      </rPr>
      <t>（平成25年５月31日財務省告示第175号改正）</t>
    </r>
    <r>
      <rPr>
        <sz val="14"/>
        <rFont val="ＭＳ Ｐゴシック"/>
        <family val="3"/>
        <charset val="128"/>
      </rPr>
      <t>）</t>
    </r>
    <rPh sb="0" eb="1">
      <t>ツキ</t>
    </rPh>
    <rPh sb="2" eb="3">
      <t>ガク</t>
    </rPh>
    <rPh sb="4" eb="5">
      <t>ヒョウ</t>
    </rPh>
    <rPh sb="6" eb="8">
      <t>ヘイセイ</t>
    </rPh>
    <rPh sb="10" eb="11">
      <t>ネン</t>
    </rPh>
    <rPh sb="12" eb="13">
      <t>ガツ</t>
    </rPh>
    <rPh sb="15" eb="16">
      <t>ニチ</t>
    </rPh>
    <rPh sb="16" eb="19">
      <t>ザイムショウ</t>
    </rPh>
    <rPh sb="19" eb="21">
      <t>コクジ</t>
    </rPh>
    <rPh sb="21" eb="22">
      <t>ダイ</t>
    </rPh>
    <rPh sb="25" eb="26">
      <t>ゴウ</t>
    </rPh>
    <rPh sb="26" eb="28">
      <t>ベッピョウ</t>
    </rPh>
    <rPh sb="28" eb="30">
      <t>ダイイチ</t>
    </rPh>
    <rPh sb="31" eb="33">
      <t>ヘイセイ</t>
    </rPh>
    <rPh sb="35" eb="36">
      <t>ネン</t>
    </rPh>
    <rPh sb="37" eb="38">
      <t>ガツ</t>
    </rPh>
    <rPh sb="40" eb="41">
      <t>ニチ</t>
    </rPh>
    <rPh sb="41" eb="44">
      <t>ザイムショウ</t>
    </rPh>
    <rPh sb="44" eb="46">
      <t>コクジ</t>
    </rPh>
    <rPh sb="46" eb="47">
      <t>ダイ</t>
    </rPh>
    <rPh sb="50" eb="51">
      <t>ゴウ</t>
    </rPh>
    <rPh sb="51" eb="53">
      <t>カイセイ</t>
    </rPh>
    <phoneticPr fontId="3"/>
  </si>
  <si>
    <t>396,700円に、その月の社会保険料等控除後の給与等の金額のうち1,010,000円を超える金額の40.84％に相当する金額を加算した金額</t>
    <phoneticPr fontId="3"/>
  </si>
  <si>
    <r>
      <t>1,010,000円を超える金額の</t>
    </r>
    <r>
      <rPr>
        <sz val="11"/>
        <rFont val="ＭＳ Ｐゴシック"/>
        <family val="3"/>
        <charset val="128"/>
      </rPr>
      <t>32.1615</t>
    </r>
    <r>
      <rPr>
        <sz val="11"/>
        <rFont val="ＭＳ Ｐゴシック"/>
        <family val="3"/>
        <charset val="128"/>
      </rPr>
      <t>％に相当する金額を加算した金額</t>
    </r>
    <phoneticPr fontId="3"/>
  </si>
  <si>
    <t xml:space="preserve"> 1,250,000円</t>
    <rPh sb="10" eb="11">
      <t>エン</t>
    </rPh>
    <phoneticPr fontId="3"/>
  </si>
  <si>
    <t>494,800円に、その月の社会保険料等控除後の給与等の金額のうち1,250,000円を超える金額の45.945％に相当する金額を加算した金額</t>
    <phoneticPr fontId="3"/>
  </si>
  <si>
    <r>
      <t>1,250,000円を超える金額の</t>
    </r>
    <r>
      <rPr>
        <sz val="11"/>
        <rFont val="ＭＳ Ｐゴシック"/>
        <family val="3"/>
        <charset val="128"/>
      </rPr>
      <t>33.693</t>
    </r>
    <r>
      <rPr>
        <sz val="11"/>
        <rFont val="ＭＳ Ｐゴシック"/>
        <family val="3"/>
        <charset val="128"/>
      </rPr>
      <t>％に相当する金額を加算した金額</t>
    </r>
    <phoneticPr fontId="3"/>
  </si>
  <si>
    <r>
      <t xml:space="preserve"> 1,</t>
    </r>
    <r>
      <rPr>
        <sz val="11"/>
        <rFont val="ＭＳ Ｐゴシック"/>
        <family val="3"/>
        <charset val="128"/>
      </rPr>
      <t>74</t>
    </r>
    <r>
      <rPr>
        <sz val="11"/>
        <rFont val="ＭＳ Ｐゴシック"/>
        <family val="3"/>
        <charset val="128"/>
      </rPr>
      <t>0,000円を超え</t>
    </r>
    <phoneticPr fontId="3"/>
  </si>
  <si>
    <r>
      <t>1,</t>
    </r>
    <r>
      <rPr>
        <sz val="11"/>
        <rFont val="ＭＳ Ｐゴシック"/>
        <family val="3"/>
        <charset val="128"/>
      </rPr>
      <t>74</t>
    </r>
    <r>
      <rPr>
        <sz val="11"/>
        <rFont val="ＭＳ Ｐゴシック"/>
        <family val="3"/>
        <charset val="128"/>
      </rPr>
      <t>0,000円の場合の税額に、その月の社会保険料等控除後の給与等の金額のうち</t>
    </r>
    <rPh sb="27" eb="28">
      <t>トウ</t>
    </rPh>
    <phoneticPr fontId="3"/>
  </si>
  <si>
    <r>
      <t xml:space="preserve"> </t>
    </r>
    <r>
      <rPr>
        <sz val="11"/>
        <rFont val="ＭＳ Ｐゴシック"/>
        <family val="3"/>
        <charset val="128"/>
      </rPr>
      <t>3</t>
    </r>
    <r>
      <rPr>
        <sz val="11"/>
        <rFont val="ＭＳ Ｐゴシック"/>
        <family val="3"/>
        <charset val="128"/>
      </rPr>
      <t>,</t>
    </r>
    <r>
      <rPr>
        <sz val="11"/>
        <rFont val="ＭＳ Ｐゴシック"/>
        <family val="3"/>
        <charset val="128"/>
      </rPr>
      <t>57</t>
    </r>
    <r>
      <rPr>
        <sz val="11"/>
        <rFont val="ＭＳ Ｐゴシック"/>
        <family val="3"/>
        <charset val="128"/>
      </rPr>
      <t>0,000円に満た</t>
    </r>
    <phoneticPr fontId="3"/>
  </si>
  <si>
    <r>
      <t>1,</t>
    </r>
    <r>
      <rPr>
        <sz val="11"/>
        <rFont val="ＭＳ Ｐゴシック"/>
        <family val="3"/>
        <charset val="128"/>
      </rPr>
      <t>74</t>
    </r>
    <r>
      <rPr>
        <sz val="11"/>
        <rFont val="ＭＳ Ｐゴシック"/>
        <family val="3"/>
        <charset val="128"/>
      </rPr>
      <t>0,000円を超える金額の</t>
    </r>
    <r>
      <rPr>
        <sz val="11"/>
        <rFont val="ＭＳ Ｐゴシック"/>
        <family val="3"/>
        <charset val="128"/>
      </rPr>
      <t>40.84</t>
    </r>
    <r>
      <rPr>
        <sz val="11"/>
        <rFont val="ＭＳ Ｐゴシック"/>
        <family val="3"/>
        <charset val="128"/>
      </rPr>
      <t>％に相当する金額を加算した金額</t>
    </r>
    <phoneticPr fontId="3"/>
  </si>
  <si>
    <r>
      <t>3,</t>
    </r>
    <r>
      <rPr>
        <sz val="11"/>
        <rFont val="ＭＳ Ｐゴシック"/>
        <family val="3"/>
        <charset val="128"/>
      </rPr>
      <t>57</t>
    </r>
    <r>
      <rPr>
        <sz val="11"/>
        <rFont val="ＭＳ Ｐゴシック"/>
        <family val="3"/>
        <charset val="128"/>
      </rPr>
      <t>0,000円</t>
    </r>
    <phoneticPr fontId="3"/>
  </si>
  <si>
    <r>
      <t xml:space="preserve"> </t>
    </r>
    <r>
      <rPr>
        <sz val="11"/>
        <rFont val="ＭＳ Ｐゴシック"/>
        <family val="3"/>
        <charset val="128"/>
      </rPr>
      <t>3</t>
    </r>
    <r>
      <rPr>
        <sz val="11"/>
        <rFont val="ＭＳ Ｐゴシック"/>
        <family val="3"/>
        <charset val="128"/>
      </rPr>
      <t>,</t>
    </r>
    <r>
      <rPr>
        <sz val="11"/>
        <rFont val="ＭＳ Ｐゴシック"/>
        <family val="3"/>
        <charset val="128"/>
      </rPr>
      <t>57</t>
    </r>
    <r>
      <rPr>
        <sz val="11"/>
        <rFont val="ＭＳ Ｐゴシック"/>
        <family val="3"/>
        <charset val="128"/>
      </rPr>
      <t>0,000円を超え</t>
    </r>
    <phoneticPr fontId="3"/>
  </si>
  <si>
    <t>3,570,000円の場合の税額に、その月の社会保険料等控除後の給与等の金額のうち</t>
    <rPh sb="27" eb="28">
      <t>トウ</t>
    </rPh>
    <phoneticPr fontId="3"/>
  </si>
  <si>
    <r>
      <rPr>
        <sz val="11"/>
        <rFont val="ＭＳ Ｐゴシック"/>
        <family val="3"/>
        <charset val="128"/>
      </rPr>
      <t>3,570,000</t>
    </r>
    <r>
      <rPr>
        <sz val="11"/>
        <rFont val="ＭＳ Ｐゴシック"/>
        <family val="3"/>
        <charset val="128"/>
      </rPr>
      <t>円を超える金額の</t>
    </r>
    <r>
      <rPr>
        <sz val="11"/>
        <rFont val="ＭＳ Ｐゴシック"/>
        <family val="3"/>
        <charset val="128"/>
      </rPr>
      <t>45.945</t>
    </r>
    <r>
      <rPr>
        <sz val="11"/>
        <rFont val="ＭＳ Ｐゴシック"/>
        <family val="3"/>
        <charset val="128"/>
      </rPr>
      <t>％に相当する金額を加算した金額</t>
    </r>
    <phoneticPr fontId="3"/>
  </si>
  <si>
    <r>
      <t xml:space="preserve">   １人ごとに1,</t>
    </r>
    <r>
      <rPr>
        <sz val="11"/>
        <rFont val="ＭＳ Ｐゴシック"/>
        <family val="3"/>
        <charset val="128"/>
      </rPr>
      <t>610</t>
    </r>
    <r>
      <rPr>
        <sz val="11"/>
        <rFont val="ＭＳ Ｐゴシック"/>
        <family val="3"/>
        <charset val="128"/>
      </rPr>
      <t>円を控除した金額</t>
    </r>
    <phoneticPr fontId="3"/>
  </si>
  <si>
    <t>(注)   この表において「扶養親族等」とは、控除対象配偶者及び控除対象扶養親族をいいます。</t>
    <rPh sb="32" eb="34">
      <t>コウジョ</t>
    </rPh>
    <rPh sb="34" eb="36">
      <t>タイショウ</t>
    </rPh>
    <phoneticPr fontId="3"/>
  </si>
  <si>
    <t>(備考）  税額の求め方は、次のとおりです。</t>
  </si>
  <si>
    <t xml:space="preserve">   1　 「給与所得者の扶養控除等申告書」（以下この表において「扶養控除等申告書」といいます。）の提出があった人</t>
    <phoneticPr fontId="3"/>
  </si>
  <si>
    <t xml:space="preserve">     (1)  まず、その人のその月の給与等の金額から、その給与等の金額から控除される社会保険料等の金額を控除した金額を求めます。</t>
    <rPh sb="50" eb="51">
      <t>トウ</t>
    </rPh>
    <phoneticPr fontId="3"/>
  </si>
  <si>
    <t xml:space="preserve">     (2)  次に、扶養控除等申告書により申告された扶養親族等の数が７人以下である場合には、(1)により求めた金額に応じて「その月の社会保険料等控除後</t>
    <rPh sb="74" eb="75">
      <t>トウ</t>
    </rPh>
    <phoneticPr fontId="3"/>
  </si>
  <si>
    <t xml:space="preserve">        の給与等の金額」欄の該当する行を求め、その行と扶養親族等の数に応じた甲欄の該当欄との交わるところに記載されている金額を求めます。これが</t>
  </si>
  <si>
    <t xml:space="preserve">        求める税額です。</t>
  </si>
  <si>
    <t xml:space="preserve">     (3)  扶養控除等申告書により申告された扶養親族等の数が７人を超える場合には、(1)により求めた金額に応じて、扶養親族等の数が７人であるものと</t>
  </si>
  <si>
    <t xml:space="preserve">        して(2)により求めた税額から、扶養親族等の数が７人を超える１人ごとに1,610円を控除した金額を求めます。これが求める税額です。</t>
    <phoneticPr fontId="3"/>
  </si>
  <si>
    <t xml:space="preserve">     (4)  (2)及び(3)の場合において、扶養控除等申告書にその人が障害者（特別障害者を含みます。）、寡婦（特別の寡婦を含みます。）、寡夫又は勤労</t>
    <rPh sb="76" eb="78">
      <t>キンロウ</t>
    </rPh>
    <phoneticPr fontId="3"/>
  </si>
  <si>
    <t xml:space="preserve">        学生に該当する旨の記載があるときは、扶養親族等の数にこれらの一に該当するごとに１人を加算した数を、扶養控除等申告書にその人の控除対象配</t>
    <rPh sb="70" eb="72">
      <t>コウジョ</t>
    </rPh>
    <rPh sb="72" eb="74">
      <t>タイショウ</t>
    </rPh>
    <rPh sb="74" eb="75">
      <t>クバ</t>
    </rPh>
    <phoneticPr fontId="3"/>
  </si>
  <si>
    <t xml:space="preserve">        偶者又は扶養親族のうちに障害者（特別障害者を含みます。）又は同居特別障害者に該当する人がいる旨の記載があるときは、扶養親族等の数にこれ</t>
    <phoneticPr fontId="3"/>
  </si>
  <si>
    <t xml:space="preserve">        らの一に該当するごとに１人を加算した数を、それぞれ(2)及び(3)の扶養親族等の数とします。</t>
    <phoneticPr fontId="3"/>
  </si>
  <si>
    <t xml:space="preserve">   2  扶養控除等申告書の提出がない人（「従たる給与についての扶養控除等申告書」の提出があった人を含みます。）</t>
    <phoneticPr fontId="3"/>
  </si>
  <si>
    <t xml:space="preserve">    　その人のその月の給与等の金額から、その給与等の金額から控除される社会保険料等の金額を控除し、その控除後の金額に応じた「その月の社会保険料</t>
    <rPh sb="42" eb="43">
      <t>トウ</t>
    </rPh>
    <phoneticPr fontId="3"/>
  </si>
  <si>
    <t xml:space="preserve">    等控除後の給与等の金額」欄の該当する行と乙欄との交わるところに記載されている金額（「従たる給与についての扶養控除等申告書」の提出があった</t>
    <phoneticPr fontId="3"/>
  </si>
  <si>
    <t xml:space="preserve">    場合には、その申告書により申告された扶養親族等の数に応じ、扶養親族等１人ごとに1,610円を控除した金額）を求めます。これが求める税額です。　　</t>
    <phoneticPr fontId="3"/>
  </si>
  <si>
    <t>勤務日数</t>
  </si>
  <si>
    <t>週当たり</t>
  </si>
  <si>
    <t>日</t>
    <rPh sb="0" eb="1">
      <t>ヒ</t>
    </rPh>
    <phoneticPr fontId="3"/>
  </si>
  <si>
    <t>印</t>
    <rPh sb="0" eb="1">
      <t>イン</t>
    </rPh>
    <phoneticPr fontId="3"/>
  </si>
  <si>
    <t>（日本工業規格Ａ列４）</t>
    <rPh sb="1" eb="3">
      <t>ニホン</t>
    </rPh>
    <rPh sb="3" eb="5">
      <t>コウギョウ</t>
    </rPh>
    <rPh sb="5" eb="7">
      <t>キカク</t>
    </rPh>
    <rPh sb="8" eb="9">
      <t>レツ</t>
    </rPh>
    <phoneticPr fontId="3"/>
  </si>
  <si>
    <t>様式第３号（第１０条関係）（表面）</t>
    <rPh sb="6" eb="7">
      <t>ダイ</t>
    </rPh>
    <rPh sb="9" eb="10">
      <t>ジョウ</t>
    </rPh>
    <rPh sb="10" eb="12">
      <t>カンケイ</t>
    </rPh>
    <rPh sb="14" eb="15">
      <t>オモテ</t>
    </rPh>
    <rPh sb="15" eb="16">
      <t>メン</t>
    </rPh>
    <phoneticPr fontId="3"/>
  </si>
  <si>
    <t>雇        入       れ</t>
    <rPh sb="0" eb="1">
      <t>ヤトイ</t>
    </rPh>
    <rPh sb="9" eb="10">
      <t>ハイ</t>
    </rPh>
    <phoneticPr fontId="3"/>
  </si>
  <si>
    <t>離　　　　　　　　 職</t>
    <rPh sb="0" eb="1">
      <t>ハナレ</t>
    </rPh>
    <rPh sb="10" eb="11">
      <t>ショク</t>
    </rPh>
    <phoneticPr fontId="3"/>
  </si>
  <si>
    <t>に係る</t>
    <rPh sb="1" eb="2">
      <t>カカ</t>
    </rPh>
    <phoneticPr fontId="3"/>
  </si>
  <si>
    <t>外国人雇用状況届出書</t>
    <phoneticPr fontId="3"/>
  </si>
  <si>
    <t>フリガナ（カタカナ）</t>
    <phoneticPr fontId="3"/>
  </si>
  <si>
    <t>①外国人の氏名
（ローマ字又は漢字）</t>
    <rPh sb="12" eb="13">
      <t>ジ</t>
    </rPh>
    <rPh sb="13" eb="14">
      <t>マタ</t>
    </rPh>
    <rPh sb="15" eb="17">
      <t>カンジ</t>
    </rPh>
    <phoneticPr fontId="3"/>
  </si>
  <si>
    <t>姓</t>
    <rPh sb="0" eb="1">
      <t>セイ</t>
    </rPh>
    <phoneticPr fontId="3"/>
  </si>
  <si>
    <t>名</t>
    <rPh sb="0" eb="1">
      <t>メイ</t>
    </rPh>
    <phoneticPr fontId="3"/>
  </si>
  <si>
    <t>ミドルネーム</t>
    <phoneticPr fontId="3"/>
  </si>
  <si>
    <t>②①の者の在留資格</t>
    <rPh sb="3" eb="4">
      <t>モノ</t>
    </rPh>
    <rPh sb="5" eb="7">
      <t>ザイリュウ</t>
    </rPh>
    <rPh sb="7" eb="9">
      <t>シカク</t>
    </rPh>
    <phoneticPr fontId="3"/>
  </si>
  <si>
    <t>③①の者の在留期間（期限）
（西暦）</t>
    <rPh sb="3" eb="4">
      <t>モノ</t>
    </rPh>
    <rPh sb="5" eb="7">
      <t>ザイリュウ</t>
    </rPh>
    <rPh sb="7" eb="9">
      <t>キカン</t>
    </rPh>
    <rPh sb="10" eb="12">
      <t>キゲン</t>
    </rPh>
    <rPh sb="15" eb="17">
      <t>セイレキ</t>
    </rPh>
    <phoneticPr fontId="3"/>
  </si>
  <si>
    <t>月</t>
    <rPh sb="0" eb="1">
      <t>ツキ</t>
    </rPh>
    <phoneticPr fontId="3"/>
  </si>
  <si>
    <t>日</t>
    <rPh sb="0" eb="1">
      <t>ニチ</t>
    </rPh>
    <phoneticPr fontId="3"/>
  </si>
  <si>
    <t>まで</t>
    <phoneticPr fontId="3"/>
  </si>
  <si>
    <t>④①の者の生年月日
（西暦）</t>
    <phoneticPr fontId="3"/>
  </si>
  <si>
    <t>⑤①の者の性別</t>
    <rPh sb="3" eb="4">
      <t>モノ</t>
    </rPh>
    <rPh sb="5" eb="7">
      <t>セイベツ</t>
    </rPh>
    <phoneticPr fontId="3"/>
  </si>
  <si>
    <t>１ 男</t>
    <rPh sb="2" eb="3">
      <t>オトコ</t>
    </rPh>
    <phoneticPr fontId="3"/>
  </si>
  <si>
    <t>・</t>
    <phoneticPr fontId="3"/>
  </si>
  <si>
    <t>２ 女</t>
    <rPh sb="2" eb="3">
      <t>オンナ</t>
    </rPh>
    <phoneticPr fontId="3"/>
  </si>
  <si>
    <t>⑥①の者の国籍</t>
    <rPh sb="5" eb="7">
      <t>コクセキ</t>
    </rPh>
    <phoneticPr fontId="3"/>
  </si>
  <si>
    <t>⑦①の者の資格外
活動許可の有無</t>
    <rPh sb="3" eb="4">
      <t>モノ</t>
    </rPh>
    <rPh sb="5" eb="7">
      <t>シカク</t>
    </rPh>
    <rPh sb="7" eb="8">
      <t>ガイ</t>
    </rPh>
    <rPh sb="9" eb="11">
      <t>カツドウ</t>
    </rPh>
    <rPh sb="11" eb="13">
      <t>キョカ</t>
    </rPh>
    <rPh sb="14" eb="16">
      <t>ウム</t>
    </rPh>
    <phoneticPr fontId="3"/>
  </si>
  <si>
    <t>１ 有</t>
    <rPh sb="2" eb="3">
      <t>ユウ</t>
    </rPh>
    <phoneticPr fontId="3"/>
  </si>
  <si>
    <t>・</t>
    <phoneticPr fontId="3"/>
  </si>
  <si>
    <t>２ 無</t>
    <rPh sb="2" eb="3">
      <t>ム</t>
    </rPh>
    <phoneticPr fontId="3"/>
  </si>
  <si>
    <r>
      <t xml:space="preserve">雇入れ年月日
</t>
    </r>
    <r>
      <rPr>
        <sz val="10"/>
        <rFont val="ＭＳ ゴシック"/>
        <family val="3"/>
        <charset val="128"/>
      </rPr>
      <t>（西暦）</t>
    </r>
    <rPh sb="0" eb="2">
      <t>ヤトイイ</t>
    </rPh>
    <rPh sb="3" eb="6">
      <t>ネンガッピ</t>
    </rPh>
    <rPh sb="8" eb="10">
      <t>セイレキ</t>
    </rPh>
    <phoneticPr fontId="3"/>
  </si>
  <si>
    <r>
      <t xml:space="preserve">離職年月日
</t>
    </r>
    <r>
      <rPr>
        <sz val="10"/>
        <rFont val="ＭＳ ゴシック"/>
        <family val="3"/>
        <charset val="128"/>
      </rPr>
      <t>（西暦）</t>
    </r>
    <rPh sb="0" eb="2">
      <t>リショク</t>
    </rPh>
    <rPh sb="2" eb="5">
      <t>ネンガッピ</t>
    </rPh>
    <rPh sb="7" eb="9">
      <t>セイレキ</t>
    </rPh>
    <phoneticPr fontId="3"/>
  </si>
  <si>
    <t>雇用対策法施行規則第10条第3項・整備省令附則第2条　の規定により上記のとおり届けます。</t>
    <phoneticPr fontId="3"/>
  </si>
  <si>
    <t>平成　　　</t>
    <rPh sb="0" eb="2">
      <t>ヘイセイ</t>
    </rPh>
    <phoneticPr fontId="3"/>
  </si>
  <si>
    <t>月</t>
    <rPh sb="0" eb="1">
      <t>ガツ</t>
    </rPh>
    <phoneticPr fontId="3"/>
  </si>
  <si>
    <t>事業主</t>
    <rPh sb="0" eb="3">
      <t>ジギョウヌシ</t>
    </rPh>
    <phoneticPr fontId="3"/>
  </si>
  <si>
    <t>事業所の名称、所在地、電話番号等</t>
    <rPh sb="0" eb="3">
      <t>ジギョウショ</t>
    </rPh>
    <rPh sb="4" eb="6">
      <t>メイショウ</t>
    </rPh>
    <rPh sb="7" eb="10">
      <t>ショザイチ</t>
    </rPh>
    <rPh sb="11" eb="13">
      <t>デンワ</t>
    </rPh>
    <rPh sb="13" eb="15">
      <t>バンゴウ</t>
    </rPh>
    <rPh sb="15" eb="16">
      <t>トウ</t>
    </rPh>
    <phoneticPr fontId="3"/>
  </si>
  <si>
    <t>雇入れ又は離職に係る事業所</t>
    <phoneticPr fontId="3"/>
  </si>
  <si>
    <t>雇用保険適用事業所番号</t>
    <rPh sb="0" eb="2">
      <t>コヨウ</t>
    </rPh>
    <rPh sb="2" eb="4">
      <t>ホケン</t>
    </rPh>
    <rPh sb="4" eb="6">
      <t>テキヨウ</t>
    </rPh>
    <rPh sb="6" eb="9">
      <t>ジギョウショ</t>
    </rPh>
    <rPh sb="9" eb="11">
      <t>バンゴウ</t>
    </rPh>
    <phoneticPr fontId="3"/>
  </si>
  <si>
    <t>-</t>
    <phoneticPr fontId="3"/>
  </si>
  <si>
    <t>（名称）</t>
    <rPh sb="1" eb="3">
      <t>メイショウ</t>
    </rPh>
    <phoneticPr fontId="3"/>
  </si>
  <si>
    <t>①の者が主として左記以外
の事業所で就労する場合</t>
    <phoneticPr fontId="3"/>
  </si>
  <si>
    <t>（所在地）</t>
    <rPh sb="1" eb="4">
      <t>ショザイチ</t>
    </rPh>
    <phoneticPr fontId="3"/>
  </si>
  <si>
    <t>ＴＥＬ</t>
    <phoneticPr fontId="3"/>
  </si>
  <si>
    <t>主たる事務所</t>
    <rPh sb="0" eb="1">
      <t>シュ</t>
    </rPh>
    <rPh sb="3" eb="5">
      <t>ジム</t>
    </rPh>
    <rPh sb="5" eb="6">
      <t>ショ</t>
    </rPh>
    <phoneticPr fontId="3"/>
  </si>
  <si>
    <t>学　長　　上野　淳</t>
    <rPh sb="0" eb="1">
      <t>ガク</t>
    </rPh>
    <rPh sb="2" eb="3">
      <t>チョウ</t>
    </rPh>
    <rPh sb="5" eb="7">
      <t>ウエノ</t>
    </rPh>
    <rPh sb="8" eb="9">
      <t>ジュン</t>
    </rPh>
    <phoneticPr fontId="3"/>
  </si>
  <si>
    <t>印</t>
    <phoneticPr fontId="3"/>
  </si>
  <si>
    <t>公共職業安定所長　殿</t>
    <rPh sb="0" eb="2">
      <t>コウキョウ</t>
    </rPh>
    <rPh sb="2" eb="4">
      <t>ショクギョウ</t>
    </rPh>
    <rPh sb="4" eb="6">
      <t>アンテイ</t>
    </rPh>
    <rPh sb="6" eb="8">
      <t>ショチョウ</t>
    </rPh>
    <rPh sb="9" eb="10">
      <t>ドノ</t>
    </rPh>
    <phoneticPr fontId="3"/>
  </si>
  <si>
    <t>様式第３号（裏面）</t>
    <rPh sb="0" eb="2">
      <t>ヨウシキ</t>
    </rPh>
    <rPh sb="2" eb="3">
      <t>ダイ</t>
    </rPh>
    <rPh sb="4" eb="5">
      <t>ゴウ</t>
    </rPh>
    <rPh sb="6" eb="7">
      <t>ウラ</t>
    </rPh>
    <rPh sb="7" eb="8">
      <t>メン</t>
    </rPh>
    <phoneticPr fontId="3"/>
  </si>
  <si>
    <t>注意</t>
    <rPh sb="0" eb="2">
      <t>チュウイ</t>
    </rPh>
    <phoneticPr fontId="3"/>
  </si>
  <si>
    <t>１</t>
    <phoneticPr fontId="3"/>
  </si>
  <si>
    <t>　雇入れに係る外国人雇用状況届出書として使用する場合の注意</t>
    <rPh sb="1" eb="3">
      <t>ヤトイイ</t>
    </rPh>
    <rPh sb="20" eb="22">
      <t>シヨウ</t>
    </rPh>
    <rPh sb="24" eb="26">
      <t>バアイ</t>
    </rPh>
    <rPh sb="27" eb="29">
      <t>チュウイ</t>
    </rPh>
    <phoneticPr fontId="3"/>
  </si>
  <si>
    <t>(1)</t>
    <phoneticPr fontId="3"/>
  </si>
  <si>
    <t>　表面標題中「離職」の文字及び「平成19年10月1日時点で現に雇い入れている者」の文字並びに表面下部の「整備省令附則第2条」の文字を抹消すること。</t>
    <rPh sb="1" eb="3">
      <t>ヒョウメン</t>
    </rPh>
    <rPh sb="3" eb="5">
      <t>ヒョウダイ</t>
    </rPh>
    <rPh sb="5" eb="6">
      <t>チュウ</t>
    </rPh>
    <rPh sb="7" eb="9">
      <t>リショク</t>
    </rPh>
    <rPh sb="11" eb="13">
      <t>モジ</t>
    </rPh>
    <rPh sb="13" eb="14">
      <t>オヨ</t>
    </rPh>
    <rPh sb="16" eb="18">
      <t>ヘイセイ</t>
    </rPh>
    <rPh sb="20" eb="21">
      <t>ネン</t>
    </rPh>
    <rPh sb="23" eb="24">
      <t>ガツ</t>
    </rPh>
    <rPh sb="25" eb="26">
      <t>ニチ</t>
    </rPh>
    <rPh sb="26" eb="28">
      <t>ジテン</t>
    </rPh>
    <rPh sb="29" eb="30">
      <t>ゲン</t>
    </rPh>
    <rPh sb="31" eb="34">
      <t>ヤトイイ</t>
    </rPh>
    <rPh sb="38" eb="39">
      <t>モノ</t>
    </rPh>
    <rPh sb="41" eb="43">
      <t>モジ</t>
    </rPh>
    <rPh sb="43" eb="44">
      <t>ナラ</t>
    </rPh>
    <rPh sb="46" eb="47">
      <t>オモテ</t>
    </rPh>
    <rPh sb="47" eb="48">
      <t>メン</t>
    </rPh>
    <rPh sb="48" eb="50">
      <t>カブ</t>
    </rPh>
    <rPh sb="52" eb="54">
      <t>セイビ</t>
    </rPh>
    <rPh sb="54" eb="56">
      <t>ショウレイ</t>
    </rPh>
    <rPh sb="56" eb="58">
      <t>フソク</t>
    </rPh>
    <rPh sb="58" eb="59">
      <t>ダイ</t>
    </rPh>
    <rPh sb="60" eb="61">
      <t>ジョウ</t>
    </rPh>
    <rPh sb="63" eb="65">
      <t>モジ</t>
    </rPh>
    <rPh sb="66" eb="68">
      <t>マッショウ</t>
    </rPh>
    <phoneticPr fontId="3"/>
  </si>
  <si>
    <t>(2)</t>
    <phoneticPr fontId="3"/>
  </si>
  <si>
    <t>　①欄には、外国人の氏名を、姓、名、ミドルネームの順にローマ字又は漢字で記載し、フリガナをカタカナで記載すること。（ミドルネームがない場合は姓名のみ記載）</t>
    <rPh sb="2" eb="3">
      <t>ラン</t>
    </rPh>
    <rPh sb="6" eb="8">
      <t>ガイコク</t>
    </rPh>
    <rPh sb="8" eb="9">
      <t>ジン</t>
    </rPh>
    <rPh sb="10" eb="12">
      <t>シメイ</t>
    </rPh>
    <rPh sb="14" eb="15">
      <t>セイ</t>
    </rPh>
    <rPh sb="16" eb="17">
      <t>メイ</t>
    </rPh>
    <rPh sb="25" eb="26">
      <t>ジュン</t>
    </rPh>
    <rPh sb="30" eb="31">
      <t>ジ</t>
    </rPh>
    <rPh sb="31" eb="32">
      <t>マタ</t>
    </rPh>
    <rPh sb="33" eb="35">
      <t>カンジ</t>
    </rPh>
    <rPh sb="36" eb="38">
      <t>キサイ</t>
    </rPh>
    <rPh sb="50" eb="52">
      <t>キサイ</t>
    </rPh>
    <rPh sb="67" eb="69">
      <t>バアイ</t>
    </rPh>
    <rPh sb="70" eb="72">
      <t>セイメイ</t>
    </rPh>
    <rPh sb="74" eb="76">
      <t>キサイ</t>
    </rPh>
    <phoneticPr fontId="3"/>
  </si>
  <si>
    <t>(3)</t>
    <phoneticPr fontId="3"/>
  </si>
  <si>
    <t>　④欄には、①の者の生年月日を西暦で記載すること。</t>
    <rPh sb="2" eb="3">
      <t>ラン</t>
    </rPh>
    <rPh sb="8" eb="9">
      <t>モノ</t>
    </rPh>
    <rPh sb="10" eb="12">
      <t>セイネン</t>
    </rPh>
    <rPh sb="12" eb="14">
      <t>ガッピ</t>
    </rPh>
    <rPh sb="15" eb="17">
      <t>セイレキ</t>
    </rPh>
    <rPh sb="18" eb="20">
      <t>キサイ</t>
    </rPh>
    <phoneticPr fontId="3"/>
  </si>
  <si>
    <t>(3)</t>
    <phoneticPr fontId="3"/>
  </si>
  <si>
    <t>　②～④、⑥欄には、該当事項を記載すること。</t>
    <rPh sb="6" eb="7">
      <t>ラン</t>
    </rPh>
    <rPh sb="10" eb="12">
      <t>ガイトウ</t>
    </rPh>
    <rPh sb="12" eb="14">
      <t>ジコウ</t>
    </rPh>
    <rPh sb="15" eb="17">
      <t>キサイ</t>
    </rPh>
    <phoneticPr fontId="3"/>
  </si>
  <si>
    <t>(4)</t>
    <phoneticPr fontId="3"/>
  </si>
  <si>
    <t>　⑤欄には、①の者の性別について、該当するものの番号を○で囲むこと。</t>
    <rPh sb="2" eb="3">
      <t>ラン</t>
    </rPh>
    <rPh sb="8" eb="9">
      <t>モノ</t>
    </rPh>
    <rPh sb="10" eb="12">
      <t>セイベツ</t>
    </rPh>
    <phoneticPr fontId="3"/>
  </si>
  <si>
    <t>(5)</t>
    <phoneticPr fontId="3"/>
  </si>
  <si>
    <t>　⑦欄には、①の者が資格外活動の許可（出入国管理及び難民認定法第19条第2項の許可）を受けるべき者（「留学」、「就学」の在留資格の者等）である場合に、当該許可の有無について、該当するものの番号を○で囲むこと。</t>
    <rPh sb="2" eb="3">
      <t>ラン</t>
    </rPh>
    <rPh sb="8" eb="9">
      <t>モノ</t>
    </rPh>
    <rPh sb="10" eb="12">
      <t>シカク</t>
    </rPh>
    <rPh sb="12" eb="13">
      <t>ガイ</t>
    </rPh>
    <rPh sb="13" eb="15">
      <t>カツドウ</t>
    </rPh>
    <rPh sb="16" eb="18">
      <t>キョカ</t>
    </rPh>
    <rPh sb="43" eb="44">
      <t>ウ</t>
    </rPh>
    <rPh sb="48" eb="49">
      <t>モノ</t>
    </rPh>
    <rPh sb="51" eb="53">
      <t>リュウガク</t>
    </rPh>
    <rPh sb="56" eb="58">
      <t>シュウガク</t>
    </rPh>
    <rPh sb="60" eb="62">
      <t>ザイリュウ</t>
    </rPh>
    <rPh sb="62" eb="64">
      <t>シカク</t>
    </rPh>
    <rPh sb="65" eb="66">
      <t>モノ</t>
    </rPh>
    <rPh sb="66" eb="67">
      <t>トウ</t>
    </rPh>
    <rPh sb="71" eb="73">
      <t>バアイ</t>
    </rPh>
    <rPh sb="75" eb="77">
      <t>トウガイ</t>
    </rPh>
    <rPh sb="77" eb="79">
      <t>キョカ</t>
    </rPh>
    <rPh sb="80" eb="82">
      <t>ウム</t>
    </rPh>
    <rPh sb="87" eb="89">
      <t>ガイトウ</t>
    </rPh>
    <rPh sb="94" eb="96">
      <t>バンゴウ</t>
    </rPh>
    <rPh sb="99" eb="100">
      <t>カコ</t>
    </rPh>
    <phoneticPr fontId="3"/>
  </si>
  <si>
    <t>(6)</t>
    <phoneticPr fontId="3"/>
  </si>
  <si>
    <t>　表面中部に雇入れ年月日を記載すること。</t>
    <rPh sb="1" eb="3">
      <t>ヒョウメン</t>
    </rPh>
    <rPh sb="3" eb="5">
      <t>チュウブ</t>
    </rPh>
    <rPh sb="6" eb="8">
      <t>ヤトイイ</t>
    </rPh>
    <rPh sb="9" eb="12">
      <t>ネンガッピ</t>
    </rPh>
    <rPh sb="13" eb="15">
      <t>キサイ</t>
    </rPh>
    <phoneticPr fontId="3"/>
  </si>
  <si>
    <t>２</t>
    <phoneticPr fontId="3"/>
  </si>
  <si>
    <t>　離職に係る外国人雇用状況届出書として使用する場合の注意</t>
    <rPh sb="1" eb="3">
      <t>リショク</t>
    </rPh>
    <rPh sb="19" eb="21">
      <t>シヨウ</t>
    </rPh>
    <rPh sb="23" eb="25">
      <t>バアイ</t>
    </rPh>
    <rPh sb="26" eb="28">
      <t>チュウイ</t>
    </rPh>
    <phoneticPr fontId="3"/>
  </si>
  <si>
    <t>(1)</t>
    <phoneticPr fontId="3"/>
  </si>
  <si>
    <t>　表面標題中「雇入れ」の文字及び「平成19年10月1日時点で現に雇い入れている者」の文字並びに表面下部の「整備省令附則第2条」の文字を抹消すること。</t>
    <rPh sb="1" eb="3">
      <t>ヒョウメン</t>
    </rPh>
    <rPh sb="3" eb="5">
      <t>ヒョウダイ</t>
    </rPh>
    <rPh sb="5" eb="6">
      <t>チュウ</t>
    </rPh>
    <rPh sb="7" eb="9">
      <t>ヤトイイ</t>
    </rPh>
    <rPh sb="12" eb="14">
      <t>モジ</t>
    </rPh>
    <rPh sb="14" eb="15">
      <t>オヨ</t>
    </rPh>
    <rPh sb="17" eb="19">
      <t>ヘイセイ</t>
    </rPh>
    <rPh sb="21" eb="22">
      <t>ネン</t>
    </rPh>
    <rPh sb="24" eb="25">
      <t>ガツ</t>
    </rPh>
    <rPh sb="26" eb="27">
      <t>ニチ</t>
    </rPh>
    <rPh sb="27" eb="29">
      <t>ジテン</t>
    </rPh>
    <rPh sb="30" eb="31">
      <t>ゲン</t>
    </rPh>
    <rPh sb="32" eb="35">
      <t>ヤトイイ</t>
    </rPh>
    <rPh sb="39" eb="40">
      <t>モノ</t>
    </rPh>
    <rPh sb="42" eb="44">
      <t>モジ</t>
    </rPh>
    <rPh sb="44" eb="45">
      <t>ナラ</t>
    </rPh>
    <rPh sb="47" eb="49">
      <t>ヒョウメン</t>
    </rPh>
    <rPh sb="49" eb="51">
      <t>カブ</t>
    </rPh>
    <rPh sb="53" eb="55">
      <t>セイビ</t>
    </rPh>
    <rPh sb="55" eb="57">
      <t>ショウレイ</t>
    </rPh>
    <rPh sb="57" eb="59">
      <t>フソク</t>
    </rPh>
    <rPh sb="59" eb="60">
      <t>ダイ</t>
    </rPh>
    <rPh sb="61" eb="62">
      <t>ジョウ</t>
    </rPh>
    <rPh sb="64" eb="66">
      <t>モジ</t>
    </rPh>
    <rPh sb="67" eb="69">
      <t>マッショウ</t>
    </rPh>
    <phoneticPr fontId="3"/>
  </si>
  <si>
    <t>(2)</t>
    <phoneticPr fontId="3"/>
  </si>
  <si>
    <t>　①～⑥欄について、１と同様とすること。</t>
    <rPh sb="4" eb="5">
      <t>ラン</t>
    </rPh>
    <rPh sb="12" eb="14">
      <t>ドウヨウ</t>
    </rPh>
    <phoneticPr fontId="3"/>
  </si>
  <si>
    <t>(3)</t>
    <phoneticPr fontId="3"/>
  </si>
  <si>
    <t>　⑦欄は記載不要であること。</t>
    <rPh sb="2" eb="3">
      <t>ラン</t>
    </rPh>
    <rPh sb="4" eb="6">
      <t>キサイ</t>
    </rPh>
    <rPh sb="6" eb="8">
      <t>フヨウ</t>
    </rPh>
    <phoneticPr fontId="3"/>
  </si>
  <si>
    <t>(4)</t>
    <phoneticPr fontId="3"/>
  </si>
  <si>
    <t>　表面中部に離職年月日を記載すること。</t>
    <rPh sb="1" eb="3">
      <t>ヒョウメン</t>
    </rPh>
    <rPh sb="3" eb="5">
      <t>チュウブ</t>
    </rPh>
    <rPh sb="6" eb="8">
      <t>リショク</t>
    </rPh>
    <rPh sb="8" eb="11">
      <t>ネンガッピ</t>
    </rPh>
    <rPh sb="12" eb="14">
      <t>キサイ</t>
    </rPh>
    <phoneticPr fontId="3"/>
  </si>
  <si>
    <t>３</t>
    <phoneticPr fontId="3"/>
  </si>
  <si>
    <t>　雇入れ及び離職の双方に係る外国人雇用状況届出書として使用する場合の注意</t>
    <rPh sb="1" eb="3">
      <t>ヤトイイ</t>
    </rPh>
    <rPh sb="4" eb="5">
      <t>オヨ</t>
    </rPh>
    <rPh sb="6" eb="8">
      <t>リショク</t>
    </rPh>
    <rPh sb="9" eb="11">
      <t>ソウホウ</t>
    </rPh>
    <rPh sb="12" eb="13">
      <t>カカ</t>
    </rPh>
    <rPh sb="14" eb="16">
      <t>ガイコク</t>
    </rPh>
    <rPh sb="16" eb="17">
      <t>ジン</t>
    </rPh>
    <rPh sb="17" eb="19">
      <t>コヨウ</t>
    </rPh>
    <rPh sb="19" eb="21">
      <t>ジョウキョウ</t>
    </rPh>
    <rPh sb="21" eb="24">
      <t>トドケデショ</t>
    </rPh>
    <rPh sb="27" eb="29">
      <t>シヨウ</t>
    </rPh>
    <rPh sb="31" eb="33">
      <t>バアイ</t>
    </rPh>
    <rPh sb="34" eb="36">
      <t>チュウイ</t>
    </rPh>
    <phoneticPr fontId="3"/>
  </si>
  <si>
    <t>　表面標題中「平成19年10月1日時点で現に雇い入れている者」の文字及び表面下部の「整備省令附則第2条」の文字を抹消すること。</t>
    <rPh sb="1" eb="3">
      <t>ヒョウメン</t>
    </rPh>
    <rPh sb="7" eb="9">
      <t>ヘイセイ</t>
    </rPh>
    <rPh sb="11" eb="12">
      <t>ネン</t>
    </rPh>
    <rPh sb="14" eb="15">
      <t>ガツ</t>
    </rPh>
    <rPh sb="16" eb="17">
      <t>ニチ</t>
    </rPh>
    <rPh sb="17" eb="19">
      <t>ジテン</t>
    </rPh>
    <rPh sb="38" eb="40">
      <t>カブ</t>
    </rPh>
    <rPh sb="42" eb="44">
      <t>セイビ</t>
    </rPh>
    <rPh sb="44" eb="46">
      <t>ショウレイ</t>
    </rPh>
    <phoneticPr fontId="3"/>
  </si>
  <si>
    <t>　①～⑦欄について、１と同様とすること。</t>
    <rPh sb="4" eb="5">
      <t>ラン</t>
    </rPh>
    <rPh sb="12" eb="14">
      <t>ドウヨウ</t>
    </rPh>
    <phoneticPr fontId="3"/>
  </si>
  <si>
    <t>(3)</t>
    <phoneticPr fontId="3"/>
  </si>
  <si>
    <t>　表面中部に雇入れ年月日及び離職年月日を記載すること。</t>
    <rPh sb="1" eb="3">
      <t>ヒョウメン</t>
    </rPh>
    <rPh sb="3" eb="5">
      <t>チュウブ</t>
    </rPh>
    <rPh sb="6" eb="7">
      <t>ヤトイ</t>
    </rPh>
    <rPh sb="7" eb="8">
      <t>ハイ</t>
    </rPh>
    <rPh sb="9" eb="12">
      <t>ネンガッピ</t>
    </rPh>
    <rPh sb="12" eb="13">
      <t>オヨ</t>
    </rPh>
    <rPh sb="14" eb="16">
      <t>リショク</t>
    </rPh>
    <rPh sb="16" eb="19">
      <t>ネンガッピ</t>
    </rPh>
    <rPh sb="20" eb="22">
      <t>キサイ</t>
    </rPh>
    <phoneticPr fontId="3"/>
  </si>
  <si>
    <t>　その他１及び２に従うこと。</t>
    <rPh sb="3" eb="4">
      <t>タ</t>
    </rPh>
    <rPh sb="5" eb="6">
      <t>オヨ</t>
    </rPh>
    <rPh sb="9" eb="10">
      <t>シタガ</t>
    </rPh>
    <phoneticPr fontId="3"/>
  </si>
  <si>
    <t>４</t>
    <phoneticPr fontId="3"/>
  </si>
  <si>
    <t>　平成19年10月1日時点で現に雇い入れている者に係る外国人雇用状況届出書として使用する場合の注意</t>
    <rPh sb="1" eb="3">
      <t>ヘイセイ</t>
    </rPh>
    <rPh sb="5" eb="6">
      <t>ネン</t>
    </rPh>
    <rPh sb="8" eb="9">
      <t>ガツ</t>
    </rPh>
    <rPh sb="10" eb="11">
      <t>ニチ</t>
    </rPh>
    <rPh sb="11" eb="13">
      <t>ジテン</t>
    </rPh>
    <rPh sb="14" eb="15">
      <t>ゲン</t>
    </rPh>
    <rPh sb="23" eb="24">
      <t>モノ</t>
    </rPh>
    <rPh sb="40" eb="42">
      <t>シヨウ</t>
    </rPh>
    <rPh sb="44" eb="46">
      <t>バアイ</t>
    </rPh>
    <rPh sb="47" eb="49">
      <t>チュウイ</t>
    </rPh>
    <phoneticPr fontId="3"/>
  </si>
  <si>
    <t>　表面標題中「雇入れ」の文字及び「離職」の文字並びに表面下部の「雇用対策法施行規則第10条第3項」の文字を抹消すること。</t>
    <rPh sb="1" eb="3">
      <t>ヒョウメン</t>
    </rPh>
    <rPh sb="3" eb="5">
      <t>ヒョウダイ</t>
    </rPh>
    <rPh sb="5" eb="6">
      <t>チュウ</t>
    </rPh>
    <rPh sb="7" eb="9">
      <t>ヤトイイ</t>
    </rPh>
    <rPh sb="12" eb="14">
      <t>モジ</t>
    </rPh>
    <rPh sb="14" eb="15">
      <t>オヨ</t>
    </rPh>
    <rPh sb="17" eb="19">
      <t>リショク</t>
    </rPh>
    <rPh sb="21" eb="23">
      <t>モジ</t>
    </rPh>
    <rPh sb="23" eb="24">
      <t>ナラ</t>
    </rPh>
    <rPh sb="26" eb="28">
      <t>ヒョウメン</t>
    </rPh>
    <rPh sb="28" eb="30">
      <t>カブ</t>
    </rPh>
    <rPh sb="32" eb="34">
      <t>コヨウ</t>
    </rPh>
    <rPh sb="34" eb="37">
      <t>タイサクホウ</t>
    </rPh>
    <rPh sb="37" eb="39">
      <t>セコウ</t>
    </rPh>
    <rPh sb="39" eb="41">
      <t>キソク</t>
    </rPh>
    <rPh sb="41" eb="42">
      <t>ダイ</t>
    </rPh>
    <rPh sb="44" eb="45">
      <t>ジョウ</t>
    </rPh>
    <rPh sb="45" eb="46">
      <t>ダイ</t>
    </rPh>
    <rPh sb="47" eb="48">
      <t>コウ</t>
    </rPh>
    <rPh sb="50" eb="52">
      <t>モジ</t>
    </rPh>
    <rPh sb="53" eb="55">
      <t>マッショウ</t>
    </rPh>
    <phoneticPr fontId="3"/>
  </si>
  <si>
    <t>(2)</t>
    <phoneticPr fontId="3"/>
  </si>
  <si>
    <t>　表面中部の雇入れ年月日及び離職年月日は記載不要であること。</t>
    <rPh sb="1" eb="3">
      <t>ヒョウメン</t>
    </rPh>
    <rPh sb="3" eb="5">
      <t>チュウブ</t>
    </rPh>
    <rPh sb="6" eb="8">
      <t>ヤトイイ</t>
    </rPh>
    <rPh sb="9" eb="12">
      <t>ネンガッピ</t>
    </rPh>
    <rPh sb="12" eb="13">
      <t>オヨ</t>
    </rPh>
    <rPh sb="14" eb="16">
      <t>リショク</t>
    </rPh>
    <rPh sb="16" eb="19">
      <t>ネンガッピ</t>
    </rPh>
    <rPh sb="20" eb="22">
      <t>キサイ</t>
    </rPh>
    <rPh sb="22" eb="24">
      <t>フヨウ</t>
    </rPh>
    <phoneticPr fontId="3"/>
  </si>
  <si>
    <t>(5)</t>
    <phoneticPr fontId="3"/>
  </si>
  <si>
    <t>　平成19年10月1日時点で現に雇い入れている者が、離職した場合には、２に従い記載すること。</t>
    <rPh sb="1" eb="3">
      <t>ヘイセイ</t>
    </rPh>
    <rPh sb="5" eb="6">
      <t>ネン</t>
    </rPh>
    <rPh sb="8" eb="9">
      <t>ガツ</t>
    </rPh>
    <rPh sb="10" eb="11">
      <t>ニチ</t>
    </rPh>
    <rPh sb="11" eb="13">
      <t>ジテン</t>
    </rPh>
    <rPh sb="14" eb="15">
      <t>ゲン</t>
    </rPh>
    <rPh sb="16" eb="19">
      <t>ヤトイイ</t>
    </rPh>
    <rPh sb="23" eb="24">
      <t>モノ</t>
    </rPh>
    <rPh sb="26" eb="28">
      <t>リショク</t>
    </rPh>
    <rPh sb="30" eb="32">
      <t>バアイ</t>
    </rPh>
    <rPh sb="37" eb="38">
      <t>シタガ</t>
    </rPh>
    <rPh sb="39" eb="41">
      <t>キサイ</t>
    </rPh>
    <phoneticPr fontId="3"/>
  </si>
  <si>
    <t>５</t>
    <phoneticPr fontId="3"/>
  </si>
  <si>
    <t>　同一の者について、複数回にわたり雇入れ又は離職が生じた場合は、表面中部にそれぞれの雇入れ年月日又は離職年月日を記載すること。</t>
    <rPh sb="1" eb="3">
      <t>ドウイツ</t>
    </rPh>
    <rPh sb="4" eb="5">
      <t>シャ</t>
    </rPh>
    <rPh sb="10" eb="12">
      <t>フクスウ</t>
    </rPh>
    <rPh sb="12" eb="13">
      <t>カイ</t>
    </rPh>
    <rPh sb="17" eb="19">
      <t>ヤトイイ</t>
    </rPh>
    <rPh sb="20" eb="21">
      <t>マタ</t>
    </rPh>
    <rPh sb="22" eb="24">
      <t>リショク</t>
    </rPh>
    <rPh sb="25" eb="26">
      <t>ショウ</t>
    </rPh>
    <rPh sb="28" eb="30">
      <t>バアイ</t>
    </rPh>
    <rPh sb="32" eb="34">
      <t>ヒョウメン</t>
    </rPh>
    <rPh sb="34" eb="36">
      <t>チュウブ</t>
    </rPh>
    <rPh sb="42" eb="44">
      <t>ヤトイイ</t>
    </rPh>
    <rPh sb="45" eb="48">
      <t>ネンガッピ</t>
    </rPh>
    <rPh sb="48" eb="49">
      <t>マタ</t>
    </rPh>
    <rPh sb="50" eb="52">
      <t>リショク</t>
    </rPh>
    <rPh sb="52" eb="55">
      <t>ネンガッピ</t>
    </rPh>
    <rPh sb="56" eb="58">
      <t>キサイ</t>
    </rPh>
    <phoneticPr fontId="3"/>
  </si>
  <si>
    <t>６</t>
    <phoneticPr fontId="3"/>
  </si>
  <si>
    <t>　この様式は、届出の対象となる外国人1人につき1枚を使用すること。</t>
    <rPh sb="3" eb="5">
      <t>ヨウシキ</t>
    </rPh>
    <rPh sb="7" eb="9">
      <t>トドケデ</t>
    </rPh>
    <rPh sb="10" eb="12">
      <t>タイショウ</t>
    </rPh>
    <rPh sb="15" eb="18">
      <t>ガイコクジン</t>
    </rPh>
    <rPh sb="19" eb="20">
      <t>ニン</t>
    </rPh>
    <rPh sb="24" eb="25">
      <t>マイ</t>
    </rPh>
    <rPh sb="26" eb="28">
      <t>シヨウ</t>
    </rPh>
    <phoneticPr fontId="3"/>
  </si>
  <si>
    <t>７</t>
    <phoneticPr fontId="3"/>
  </si>
  <si>
    <t>　表面の記載に当たっては、①～⑥欄については外国人登録証明書又は旅券、⑦欄については資格外活動許可書又は就労資格証明書により確認し、記載すること。</t>
    <rPh sb="1" eb="3">
      <t>ヒョウメン</t>
    </rPh>
    <rPh sb="4" eb="6">
      <t>キサイ</t>
    </rPh>
    <rPh sb="7" eb="8">
      <t>ア</t>
    </rPh>
    <rPh sb="16" eb="17">
      <t>ラン</t>
    </rPh>
    <rPh sb="22" eb="25">
      <t>ガイコクジン</t>
    </rPh>
    <rPh sb="25" eb="27">
      <t>トウロク</t>
    </rPh>
    <rPh sb="27" eb="30">
      <t>ショウメイショ</t>
    </rPh>
    <rPh sb="30" eb="31">
      <t>マタ</t>
    </rPh>
    <rPh sb="32" eb="34">
      <t>リョケン</t>
    </rPh>
    <rPh sb="36" eb="37">
      <t>ラン</t>
    </rPh>
    <rPh sb="42" eb="45">
      <t>シカクガイ</t>
    </rPh>
    <rPh sb="45" eb="47">
      <t>カツドウ</t>
    </rPh>
    <rPh sb="47" eb="49">
      <t>キョカ</t>
    </rPh>
    <rPh sb="49" eb="50">
      <t>ショ</t>
    </rPh>
    <rPh sb="50" eb="51">
      <t>マタ</t>
    </rPh>
    <rPh sb="52" eb="54">
      <t>シュウロウ</t>
    </rPh>
    <rPh sb="54" eb="56">
      <t>シカク</t>
    </rPh>
    <rPh sb="56" eb="59">
      <t>ショウメイショ</t>
    </rPh>
    <rPh sb="62" eb="64">
      <t>カクニン</t>
    </rPh>
    <rPh sb="66" eb="68">
      <t>キサイ</t>
    </rPh>
    <phoneticPr fontId="3"/>
  </si>
  <si>
    <t>８</t>
    <phoneticPr fontId="3"/>
  </si>
  <si>
    <t xml:space="preserve">　事業所の名称、所在地、電話番号等欄には、雇入れ又は離職に係る事業所の名称、所在地、電話番号、雇用保険適用事業所番号並びに事業主が法人の場合は、法人の名称及びその主たる事務所の所在地、電話番号を記載すること。また、①の者が派遣労働者又は請負労働者として主として他の事業所で就労する場合は□にチェックすること。
</t>
    <rPh sb="1" eb="3">
      <t>ジギョウ</t>
    </rPh>
    <rPh sb="3" eb="4">
      <t>ショ</t>
    </rPh>
    <rPh sb="5" eb="7">
      <t>メイショウ</t>
    </rPh>
    <rPh sb="8" eb="11">
      <t>ショザイチ</t>
    </rPh>
    <rPh sb="12" eb="14">
      <t>デンワ</t>
    </rPh>
    <rPh sb="14" eb="16">
      <t>バンゴウ</t>
    </rPh>
    <rPh sb="16" eb="17">
      <t>トウ</t>
    </rPh>
    <rPh sb="17" eb="18">
      <t>ラン</t>
    </rPh>
    <rPh sb="21" eb="23">
      <t>ヤトイイ</t>
    </rPh>
    <rPh sb="24" eb="25">
      <t>マタ</t>
    </rPh>
    <rPh sb="26" eb="28">
      <t>リショク</t>
    </rPh>
    <rPh sb="29" eb="30">
      <t>カカ</t>
    </rPh>
    <rPh sb="31" eb="34">
      <t>ジギョウショ</t>
    </rPh>
    <rPh sb="35" eb="37">
      <t>メイショウ</t>
    </rPh>
    <rPh sb="38" eb="41">
      <t>ショザイチ</t>
    </rPh>
    <rPh sb="42" eb="44">
      <t>デンワ</t>
    </rPh>
    <rPh sb="44" eb="46">
      <t>バンゴウ</t>
    </rPh>
    <rPh sb="47" eb="49">
      <t>コヨウ</t>
    </rPh>
    <rPh sb="49" eb="51">
      <t>ホケン</t>
    </rPh>
    <rPh sb="51" eb="53">
      <t>テキヨウ</t>
    </rPh>
    <rPh sb="53" eb="56">
      <t>ジギョウショ</t>
    </rPh>
    <rPh sb="56" eb="58">
      <t>バンゴウ</t>
    </rPh>
    <rPh sb="58" eb="59">
      <t>ナラ</t>
    </rPh>
    <rPh sb="61" eb="64">
      <t>ジギョウヌシ</t>
    </rPh>
    <rPh sb="65" eb="67">
      <t>ホウジン</t>
    </rPh>
    <rPh sb="68" eb="70">
      <t>バアイ</t>
    </rPh>
    <rPh sb="72" eb="74">
      <t>ホウジン</t>
    </rPh>
    <rPh sb="75" eb="77">
      <t>メイショウ</t>
    </rPh>
    <rPh sb="77" eb="78">
      <t>オヨ</t>
    </rPh>
    <rPh sb="81" eb="82">
      <t>シュ</t>
    </rPh>
    <rPh sb="84" eb="86">
      <t>ジム</t>
    </rPh>
    <rPh sb="86" eb="87">
      <t>ショ</t>
    </rPh>
    <rPh sb="88" eb="91">
      <t>ショザイチ</t>
    </rPh>
    <rPh sb="92" eb="94">
      <t>デンワ</t>
    </rPh>
    <rPh sb="94" eb="96">
      <t>バンゴウ</t>
    </rPh>
    <rPh sb="97" eb="99">
      <t>キサイ</t>
    </rPh>
    <phoneticPr fontId="3"/>
  </si>
  <si>
    <t>９</t>
    <phoneticPr fontId="3"/>
  </si>
  <si>
    <t>　事業主の氏名（法人にあっては代表者の氏名）については、記名押印又は自筆による署名のいずれかにより記載すること。</t>
    <phoneticPr fontId="3"/>
  </si>
  <si>
    <t>10</t>
    <phoneticPr fontId="3"/>
  </si>
  <si>
    <t>　雇入れに係る届出にあっては、雇い入れた日の翌月の末日までに、離職に係る届出にあっては、離職した日の翌月の末日までに届け出ること。なお、届出の対象となる外国人が雇用保険の被保険者である場合の届出期限と異なるので注意すること。また、平成19年10月1日時点で現に雇い入れている者に係る届出にあっては、平成20年10月1日までに届け出ること。</t>
    <rPh sb="1" eb="2">
      <t>ヤトイ</t>
    </rPh>
    <rPh sb="2" eb="3">
      <t>ハイ</t>
    </rPh>
    <rPh sb="5" eb="6">
      <t>カカ</t>
    </rPh>
    <rPh sb="7" eb="9">
      <t>トドケデ</t>
    </rPh>
    <rPh sb="15" eb="16">
      <t>ヤトイ</t>
    </rPh>
    <rPh sb="17" eb="18">
      <t>ハイ</t>
    </rPh>
    <rPh sb="20" eb="21">
      <t>ヒ</t>
    </rPh>
    <rPh sb="22" eb="23">
      <t>ヨク</t>
    </rPh>
    <rPh sb="23" eb="24">
      <t>ツキ</t>
    </rPh>
    <rPh sb="25" eb="27">
      <t>マツジツ</t>
    </rPh>
    <rPh sb="31" eb="33">
      <t>リショク</t>
    </rPh>
    <rPh sb="34" eb="35">
      <t>カカ</t>
    </rPh>
    <rPh sb="36" eb="38">
      <t>トドケデ</t>
    </rPh>
    <rPh sb="44" eb="46">
      <t>リショク</t>
    </rPh>
    <rPh sb="48" eb="49">
      <t>ヒ</t>
    </rPh>
    <rPh sb="50" eb="51">
      <t>ヨク</t>
    </rPh>
    <rPh sb="51" eb="52">
      <t>ツキ</t>
    </rPh>
    <rPh sb="53" eb="55">
      <t>マツジツ</t>
    </rPh>
    <rPh sb="58" eb="59">
      <t>トド</t>
    </rPh>
    <rPh sb="60" eb="61">
      <t>デ</t>
    </rPh>
    <rPh sb="68" eb="70">
      <t>トドケデ</t>
    </rPh>
    <rPh sb="71" eb="73">
      <t>タイショウ</t>
    </rPh>
    <rPh sb="76" eb="79">
      <t>ガイコクジン</t>
    </rPh>
    <rPh sb="80" eb="82">
      <t>コヨウ</t>
    </rPh>
    <rPh sb="82" eb="84">
      <t>ホケン</t>
    </rPh>
    <rPh sb="85" eb="89">
      <t>ヒホケンシャ</t>
    </rPh>
    <rPh sb="92" eb="94">
      <t>バアイ</t>
    </rPh>
    <rPh sb="95" eb="97">
      <t>トドケデ</t>
    </rPh>
    <rPh sb="97" eb="99">
      <t>キゲン</t>
    </rPh>
    <rPh sb="100" eb="101">
      <t>コト</t>
    </rPh>
    <rPh sb="105" eb="107">
      <t>チュウイ</t>
    </rPh>
    <rPh sb="115" eb="117">
      <t>ヘイセイ</t>
    </rPh>
    <rPh sb="119" eb="120">
      <t>ネン</t>
    </rPh>
    <rPh sb="122" eb="123">
      <t>ガツ</t>
    </rPh>
    <rPh sb="124" eb="125">
      <t>ニチ</t>
    </rPh>
    <rPh sb="125" eb="127">
      <t>ジテン</t>
    </rPh>
    <rPh sb="128" eb="129">
      <t>ゲン</t>
    </rPh>
    <rPh sb="130" eb="133">
      <t>ヤトイイ</t>
    </rPh>
    <rPh sb="137" eb="138">
      <t>シャ</t>
    </rPh>
    <rPh sb="139" eb="140">
      <t>カカ</t>
    </rPh>
    <rPh sb="141" eb="143">
      <t>トドケデ</t>
    </rPh>
    <rPh sb="149" eb="151">
      <t>ヘイセイ</t>
    </rPh>
    <rPh sb="153" eb="154">
      <t>ネン</t>
    </rPh>
    <rPh sb="156" eb="157">
      <t>ガツ</t>
    </rPh>
    <rPh sb="158" eb="159">
      <t>ニチ</t>
    </rPh>
    <rPh sb="162" eb="163">
      <t>トド</t>
    </rPh>
    <rPh sb="164" eb="165">
      <t>デ</t>
    </rPh>
    <phoneticPr fontId="3"/>
  </si>
  <si>
    <t>11</t>
    <phoneticPr fontId="3"/>
  </si>
  <si>
    <t>　本届出は電子申請による手続も可能であること。</t>
    <rPh sb="1" eb="2">
      <t>ホン</t>
    </rPh>
    <rPh sb="2" eb="4">
      <t>トドケデ</t>
    </rPh>
    <rPh sb="12" eb="14">
      <t>テツヅキ</t>
    </rPh>
    <phoneticPr fontId="3"/>
  </si>
  <si>
    <t>12</t>
    <phoneticPr fontId="3"/>
  </si>
  <si>
    <t>　表面下部の「整備省令」とは、「雇用対策法及び地域雇用開発促進法の一部を改正する法律の施行に伴う関係省令の整備等に関する省令（平成19年厚生労働省令第102号）」を表す。</t>
    <rPh sb="1" eb="3">
      <t>ヒョウメン</t>
    </rPh>
    <rPh sb="3" eb="5">
      <t>カブ</t>
    </rPh>
    <rPh sb="7" eb="9">
      <t>セイビ</t>
    </rPh>
    <rPh sb="9" eb="11">
      <t>ショウレイ</t>
    </rPh>
    <rPh sb="16" eb="18">
      <t>コヨウ</t>
    </rPh>
    <rPh sb="18" eb="21">
      <t>タイサクホウ</t>
    </rPh>
    <rPh sb="21" eb="22">
      <t>オヨ</t>
    </rPh>
    <rPh sb="23" eb="25">
      <t>チイキ</t>
    </rPh>
    <rPh sb="25" eb="27">
      <t>コヨウ</t>
    </rPh>
    <rPh sb="27" eb="29">
      <t>カイハツ</t>
    </rPh>
    <rPh sb="29" eb="32">
      <t>ソクシンホウ</t>
    </rPh>
    <rPh sb="33" eb="35">
      <t>イチブ</t>
    </rPh>
    <rPh sb="36" eb="38">
      <t>カイセイ</t>
    </rPh>
    <rPh sb="40" eb="42">
      <t>ホウリツ</t>
    </rPh>
    <rPh sb="43" eb="45">
      <t>セコウ</t>
    </rPh>
    <rPh sb="46" eb="47">
      <t>トモナ</t>
    </rPh>
    <rPh sb="48" eb="51">
      <t>カンケイショウ</t>
    </rPh>
    <rPh sb="51" eb="52">
      <t>レイ</t>
    </rPh>
    <rPh sb="53" eb="55">
      <t>セイビ</t>
    </rPh>
    <rPh sb="55" eb="56">
      <t>トウ</t>
    </rPh>
    <rPh sb="57" eb="58">
      <t>カン</t>
    </rPh>
    <rPh sb="60" eb="62">
      <t>ショウレイ</t>
    </rPh>
    <rPh sb="63" eb="65">
      <t>ヘイセイ</t>
    </rPh>
    <rPh sb="67" eb="68">
      <t>ネン</t>
    </rPh>
    <rPh sb="68" eb="70">
      <t>コウセイ</t>
    </rPh>
    <rPh sb="70" eb="73">
      <t>ロウドウショウ</t>
    </rPh>
    <rPh sb="73" eb="74">
      <t>レイ</t>
    </rPh>
    <rPh sb="74" eb="75">
      <t>ダイ</t>
    </rPh>
    <rPh sb="78" eb="79">
      <t>ゴウ</t>
    </rPh>
    <rPh sb="82" eb="83">
      <t>アラワ</t>
    </rPh>
    <phoneticPr fontId="3"/>
  </si>
  <si>
    <t>臨時職員採用履歴書</t>
    <rPh sb="0" eb="2">
      <t>リンジ</t>
    </rPh>
    <rPh sb="2" eb="4">
      <t>ショクイン</t>
    </rPh>
    <rPh sb="4" eb="6">
      <t>サイヨウ</t>
    </rPh>
    <rPh sb="6" eb="9">
      <t>リレキショ</t>
    </rPh>
    <phoneticPr fontId="3"/>
  </si>
  <si>
    <t>ふりがな</t>
    <phoneticPr fontId="3"/>
  </si>
  <si>
    <t>氏 　名</t>
    <phoneticPr fontId="3"/>
  </si>
  <si>
    <t>　日生</t>
    <rPh sb="1" eb="2">
      <t>ニチ</t>
    </rPh>
    <rPh sb="2" eb="3">
      <t>ウ</t>
    </rPh>
    <phoneticPr fontId="3"/>
  </si>
  <si>
    <t>（満　　　　歳）</t>
    <rPh sb="1" eb="2">
      <t>マン</t>
    </rPh>
    <rPh sb="6" eb="7">
      <t>サイ</t>
    </rPh>
    <phoneticPr fontId="3"/>
  </si>
  <si>
    <t>性　　別</t>
    <rPh sb="0" eb="1">
      <t>セイ</t>
    </rPh>
    <rPh sb="3" eb="4">
      <t>ベツ</t>
    </rPh>
    <phoneticPr fontId="3"/>
  </si>
  <si>
    <t>ふりがな</t>
    <phoneticPr fontId="3"/>
  </si>
  <si>
    <t>電話：</t>
    <rPh sb="0" eb="2">
      <t>デンワ</t>
    </rPh>
    <phoneticPr fontId="3"/>
  </si>
  <si>
    <t>現住所</t>
    <phoneticPr fontId="3"/>
  </si>
  <si>
    <t xml:space="preserve"> 〒</t>
    <phoneticPr fontId="25"/>
  </si>
  <si>
    <t>携帯：</t>
    <rPh sb="0" eb="2">
      <t>ケイタイ</t>
    </rPh>
    <phoneticPr fontId="3"/>
  </si>
  <si>
    <t>E-mail:</t>
    <phoneticPr fontId="3"/>
  </si>
  <si>
    <t>電話等：</t>
    <rPh sb="0" eb="2">
      <t>デンワ</t>
    </rPh>
    <rPh sb="2" eb="3">
      <t>ナド</t>
    </rPh>
    <phoneticPr fontId="3"/>
  </si>
  <si>
    <t>連絡先</t>
    <phoneticPr fontId="3"/>
  </si>
  <si>
    <r>
      <t xml:space="preserve"> 〒                                              (</t>
    </r>
    <r>
      <rPr>
        <sz val="8"/>
        <rFont val="ＭＳ 明朝"/>
        <family val="1"/>
        <charset val="128"/>
      </rPr>
      <t>現住所以外に連絡を希望する場合のみ記入)</t>
    </r>
    <rPh sb="49" eb="52">
      <t>ゲンジュウショ</t>
    </rPh>
    <rPh sb="52" eb="54">
      <t>イガイ</t>
    </rPh>
    <rPh sb="55" eb="57">
      <t>レンラク</t>
    </rPh>
    <rPh sb="58" eb="60">
      <t>キボウ</t>
    </rPh>
    <rPh sb="62" eb="64">
      <t>バアイ</t>
    </rPh>
    <rPh sb="66" eb="68">
      <t>キニュウ</t>
    </rPh>
    <phoneticPr fontId="3"/>
  </si>
  <si>
    <t>自</t>
    <rPh sb="0" eb="1">
      <t>ジ</t>
    </rPh>
    <phoneticPr fontId="3"/>
  </si>
  <si>
    <t>至</t>
    <rPh sb="0" eb="1">
      <t>イタル</t>
    </rPh>
    <phoneticPr fontId="3"/>
  </si>
  <si>
    <t>学</t>
    <rPh sb="0" eb="1">
      <t>ガク</t>
    </rPh>
    <phoneticPr fontId="3"/>
  </si>
  <si>
    <t>歴</t>
    <rPh sb="0" eb="1">
      <t>レキ</t>
    </rPh>
    <phoneticPr fontId="3"/>
  </si>
  <si>
    <t>年</t>
    <rPh sb="0" eb="1">
      <t>ネン</t>
    </rPh>
    <phoneticPr fontId="25"/>
  </si>
  <si>
    <t>月</t>
    <rPh sb="0" eb="1">
      <t>ツキ</t>
    </rPh>
    <phoneticPr fontId="25"/>
  </si>
  <si>
    <t>日</t>
    <rPh sb="0" eb="1">
      <t>ヒ</t>
    </rPh>
    <phoneticPr fontId="25"/>
  </si>
  <si>
    <t>～</t>
    <phoneticPr fontId="25"/>
  </si>
  <si>
    <t>卒・修・中</t>
    <rPh sb="0" eb="1">
      <t>ソツ</t>
    </rPh>
    <rPh sb="2" eb="3">
      <t>シュウ</t>
    </rPh>
    <rPh sb="4" eb="5">
      <t>チュウ</t>
    </rPh>
    <phoneticPr fontId="3"/>
  </si>
  <si>
    <t>～</t>
    <phoneticPr fontId="25"/>
  </si>
  <si>
    <t>～</t>
    <phoneticPr fontId="25"/>
  </si>
  <si>
    <t xml:space="preserve">    職歴(公立大学法人首都大学東京以外における職歴)</t>
    <rPh sb="4" eb="6">
      <t>ショクレキ</t>
    </rPh>
    <rPh sb="7" eb="9">
      <t>コウリツ</t>
    </rPh>
    <rPh sb="9" eb="11">
      <t>ダイガク</t>
    </rPh>
    <rPh sb="11" eb="13">
      <t>ホウジン</t>
    </rPh>
    <rPh sb="13" eb="17">
      <t>シュトダイガク</t>
    </rPh>
    <rPh sb="17" eb="19">
      <t>トウキョウ</t>
    </rPh>
    <rPh sb="19" eb="21">
      <t>イガイ</t>
    </rPh>
    <rPh sb="25" eb="27">
      <t>ショクレキ</t>
    </rPh>
    <phoneticPr fontId="3"/>
  </si>
  <si>
    <t>～</t>
    <phoneticPr fontId="25"/>
  </si>
  <si>
    <t>免許・資格・語学等</t>
    <rPh sb="0" eb="2">
      <t>メンキョ</t>
    </rPh>
    <rPh sb="6" eb="8">
      <t>ゴガク</t>
    </rPh>
    <phoneticPr fontId="3"/>
  </si>
  <si>
    <t>取得年月日</t>
    <rPh sb="0" eb="2">
      <t>シュトク</t>
    </rPh>
    <rPh sb="2" eb="5">
      <t>ネンガッピ</t>
    </rPh>
    <phoneticPr fontId="3"/>
  </si>
  <si>
    <t>免許・資格・試験名</t>
    <rPh sb="0" eb="2">
      <t>メンキョ</t>
    </rPh>
    <rPh sb="3" eb="5">
      <t>シカク</t>
    </rPh>
    <rPh sb="6" eb="8">
      <t>シケン</t>
    </rPh>
    <rPh sb="8" eb="9">
      <t>メイ</t>
    </rPh>
    <phoneticPr fontId="3"/>
  </si>
  <si>
    <t>自～至</t>
    <rPh sb="0" eb="1">
      <t>ジ</t>
    </rPh>
    <rPh sb="2" eb="3">
      <t>イタル</t>
    </rPh>
    <phoneticPr fontId="3"/>
  </si>
  <si>
    <t>勤務所属（部局・課等）</t>
    <rPh sb="0" eb="2">
      <t>キンム</t>
    </rPh>
    <rPh sb="2" eb="4">
      <t>ショゾク</t>
    </rPh>
    <rPh sb="5" eb="7">
      <t>ブキョク</t>
    </rPh>
    <rPh sb="8" eb="9">
      <t>カ</t>
    </rPh>
    <rPh sb="9" eb="10">
      <t>ナド</t>
    </rPh>
    <phoneticPr fontId="3"/>
  </si>
  <si>
    <t>年　　月　　日　　　　</t>
    <rPh sb="0" eb="1">
      <t>ネン</t>
    </rPh>
    <rPh sb="3" eb="4">
      <t>ガツ</t>
    </rPh>
    <rPh sb="6" eb="7">
      <t>ヒ</t>
    </rPh>
    <phoneticPr fontId="3"/>
  </si>
  <si>
    <t>～</t>
    <phoneticPr fontId="3"/>
  </si>
  <si>
    <t>～</t>
    <phoneticPr fontId="3"/>
  </si>
  <si>
    <t>【志望動機及び実績・経験等】※書ききれない場合は、別紙に記入することも可</t>
    <rPh sb="5" eb="6">
      <t>オヨ</t>
    </rPh>
    <rPh sb="7" eb="9">
      <t>ジッセキ</t>
    </rPh>
    <rPh sb="10" eb="13">
      <t>ケイケンナド</t>
    </rPh>
    <rPh sb="15" eb="16">
      <t>カ</t>
    </rPh>
    <rPh sb="21" eb="23">
      <t>バアイ</t>
    </rPh>
    <rPh sb="25" eb="27">
      <t>ベッシ</t>
    </rPh>
    <rPh sb="28" eb="30">
      <t>キニュウ</t>
    </rPh>
    <rPh sb="35" eb="36">
      <t>カ</t>
    </rPh>
    <phoneticPr fontId="3"/>
  </si>
  <si>
    <t>以上の記載事項はすべて真実であることを誓います。</t>
    <rPh sb="0" eb="2">
      <t>イジョウ</t>
    </rPh>
    <rPh sb="3" eb="5">
      <t>キサイ</t>
    </rPh>
    <rPh sb="5" eb="7">
      <t>ジコウ</t>
    </rPh>
    <rPh sb="11" eb="13">
      <t>シンジツ</t>
    </rPh>
    <rPh sb="19" eb="20">
      <t>チカ</t>
    </rPh>
    <phoneticPr fontId="3"/>
  </si>
  <si>
    <t>　</t>
    <phoneticPr fontId="3"/>
  </si>
  <si>
    <t>氏　　名</t>
    <rPh sb="0" eb="1">
      <t>シ</t>
    </rPh>
    <rPh sb="3" eb="4">
      <t>メイ</t>
    </rPh>
    <phoneticPr fontId="3"/>
  </si>
  <si>
    <t>週当たり勤務日数</t>
    <rPh sb="0" eb="1">
      <t>シュウ</t>
    </rPh>
    <rPh sb="1" eb="2">
      <t>ア</t>
    </rPh>
    <rPh sb="4" eb="6">
      <t>キンム</t>
    </rPh>
    <rPh sb="6" eb="8">
      <t>ニッスウ</t>
    </rPh>
    <phoneticPr fontId="3"/>
  </si>
  <si>
    <t>【別紙】臨時職員採用履歴書</t>
    <rPh sb="1" eb="3">
      <t>ベッシ</t>
    </rPh>
    <rPh sb="4" eb="6">
      <t>リンジ</t>
    </rPh>
    <rPh sb="6" eb="8">
      <t>ショクイン</t>
    </rPh>
    <rPh sb="8" eb="10">
      <t>サイヨウ</t>
    </rPh>
    <rPh sb="10" eb="13">
      <t>リレキショ</t>
    </rPh>
    <phoneticPr fontId="3"/>
  </si>
  <si>
    <t>職歴（法人における職歴）</t>
    <rPh sb="0" eb="2">
      <t>ショクレキ</t>
    </rPh>
    <rPh sb="3" eb="5">
      <t>ホウジン</t>
    </rPh>
    <rPh sb="9" eb="11">
      <t>ショクレキ</t>
    </rPh>
    <phoneticPr fontId="3"/>
  </si>
  <si>
    <t>氏　名</t>
    <rPh sb="0" eb="1">
      <t>シ</t>
    </rPh>
    <rPh sb="2" eb="3">
      <t>ナ</t>
    </rPh>
    <phoneticPr fontId="3"/>
  </si>
  <si>
    <t>自～至</t>
  </si>
  <si>
    <t>勤務所属（部局・課等）</t>
  </si>
  <si>
    <t>　　　年　　　月　　　日</t>
    <rPh sb="3" eb="4">
      <t>ネン</t>
    </rPh>
    <rPh sb="7" eb="8">
      <t>ガツ</t>
    </rPh>
    <rPh sb="11" eb="12">
      <t>ヒ</t>
    </rPh>
    <phoneticPr fontId="3"/>
  </si>
  <si>
    <t>　　　～　　　年　　月　　日</t>
    <phoneticPr fontId="3"/>
  </si>
  <si>
    <t>公立大学法人首都大学東京</t>
    <rPh sb="0" eb="2">
      <t>コウリツ</t>
    </rPh>
    <rPh sb="2" eb="4">
      <t>ダイガク</t>
    </rPh>
    <rPh sb="4" eb="6">
      <t>ホウジン</t>
    </rPh>
    <rPh sb="6" eb="8">
      <t>シュト</t>
    </rPh>
    <rPh sb="8" eb="10">
      <t>ダイガク</t>
    </rPh>
    <rPh sb="10" eb="12">
      <t>トウキョウ</t>
    </rPh>
    <phoneticPr fontId="3"/>
  </si>
  <si>
    <t>臨時職員の職歴（法人における職歴）
※書ききれない場合は、別紙に記入すること</t>
    <rPh sb="14" eb="16">
      <t>ショクレキ</t>
    </rPh>
    <rPh sb="19" eb="20">
      <t>カ</t>
    </rPh>
    <rPh sb="25" eb="27">
      <t>バアイ</t>
    </rPh>
    <rPh sb="29" eb="31">
      <t>ベッシ</t>
    </rPh>
    <rPh sb="32" eb="34">
      <t>キニュウ</t>
    </rPh>
    <phoneticPr fontId="25"/>
  </si>
  <si>
    <t>通 勤 届（□新規・□変更）</t>
  </si>
  <si>
    <t>公立大学法人</t>
  </si>
  <si>
    <t>　首都大学東京理事長　殿</t>
  </si>
  <si>
    <t>　　　　　　　下記のとおり届け出します。</t>
    <phoneticPr fontId="3"/>
  </si>
  <si>
    <t>所属</t>
  </si>
  <si>
    <t>職</t>
  </si>
  <si>
    <t>臨時職員</t>
    <rPh sb="0" eb="2">
      <t>リンジ</t>
    </rPh>
    <rPh sb="2" eb="4">
      <t>ショクイン</t>
    </rPh>
    <phoneticPr fontId="3"/>
  </si>
  <si>
    <t>氏名</t>
  </si>
  <si>
    <t>印</t>
  </si>
  <si>
    <t>住所</t>
  </si>
  <si>
    <t>通　勤　方　法</t>
  </si>
  <si>
    <t>自　宅</t>
  </si>
  <si>
    <t>徒歩</t>
  </si>
  <si>
    <r>
      <t>交通用具名</t>
    </r>
    <r>
      <rPr>
        <sz val="9"/>
        <color indexed="8"/>
        <rFont val="Century"/>
        <family val="1"/>
      </rPr>
      <t>(</t>
    </r>
    <r>
      <rPr>
        <sz val="9"/>
        <color indexed="8"/>
        <rFont val="ＭＳ 明朝"/>
        <family val="1"/>
        <charset val="128"/>
      </rPr>
      <t>距離</t>
    </r>
    <r>
      <rPr>
        <sz val="9"/>
        <color indexed="8"/>
        <rFont val="Century"/>
        <family val="1"/>
      </rPr>
      <t>)</t>
    </r>
  </si>
  <si>
    <r>
      <t>交通機関路線名</t>
    </r>
    <r>
      <rPr>
        <sz val="9"/>
        <color indexed="8"/>
        <rFont val="Century"/>
        <family val="1"/>
      </rPr>
      <t>(</t>
    </r>
    <r>
      <rPr>
        <sz val="9"/>
        <color indexed="8"/>
        <rFont val="ＭＳ 明朝"/>
        <family val="1"/>
        <charset val="128"/>
      </rPr>
      <t>乗車券種別</t>
    </r>
    <r>
      <rPr>
        <sz val="9"/>
        <color indexed="8"/>
        <rFont val="Century"/>
        <family val="1"/>
      </rPr>
      <t>)</t>
    </r>
  </si>
  <si>
    <r>
      <t>金</t>
    </r>
    <r>
      <rPr>
        <sz val="9"/>
        <color indexed="8"/>
        <rFont val="Century"/>
        <family val="1"/>
      </rPr>
      <t xml:space="preserve"> </t>
    </r>
    <r>
      <rPr>
        <sz val="9"/>
        <color indexed="8"/>
        <rFont val="ＭＳ 明朝"/>
        <family val="1"/>
        <charset val="128"/>
      </rPr>
      <t>額</t>
    </r>
  </si>
  <si>
    <r>
      <t>備</t>
    </r>
    <r>
      <rPr>
        <sz val="9"/>
        <color indexed="8"/>
        <rFont val="Century"/>
        <family val="1"/>
      </rPr>
      <t xml:space="preserve"> </t>
    </r>
    <r>
      <rPr>
        <sz val="9"/>
        <color indexed="8"/>
        <rFont val="ＭＳ 明朝"/>
        <family val="1"/>
        <charset val="128"/>
      </rPr>
      <t>考</t>
    </r>
  </si>
  <si>
    <t>□</t>
  </si>
  <si>
    <t>（　　．　　㎞）</t>
  </si>
  <si>
    <t>（　　　　　　　）</t>
  </si>
  <si>
    <t>※区間毎の通勤方法（徒歩、自転車、○○線等）を記入してください。</t>
  </si>
  <si>
    <t>通勤経路（自宅→最寄駅）</t>
  </si>
  <si>
    <r>
      <rPr>
        <sz val="9"/>
        <color indexed="8"/>
        <rFont val="ＭＳ Ｐゴシック"/>
        <family val="3"/>
        <charset val="128"/>
      </rPr>
      <t>※通勤経路を「→」で</t>
    </r>
    <r>
      <rPr>
        <sz val="9"/>
        <color indexed="10"/>
        <rFont val="ＭＳ Ｐゴシック"/>
        <family val="3"/>
        <charset val="128"/>
      </rPr>
      <t>朱書き</t>
    </r>
    <r>
      <rPr>
        <sz val="9"/>
        <color indexed="8"/>
        <rFont val="ＭＳ Ｐゴシック"/>
        <family val="3"/>
        <charset val="128"/>
      </rPr>
      <t>すること。</t>
    </r>
    <phoneticPr fontId="3"/>
  </si>
  <si>
    <t>備考欄</t>
  </si>
  <si>
    <t>　　　　　　　下記のとおり届け出します。</t>
    <phoneticPr fontId="3"/>
  </si>
  <si>
    <r>
      <rPr>
        <sz val="10.5"/>
        <color indexed="8"/>
        <rFont val="ＭＳ Ｐ明朝"/>
        <family val="1"/>
        <charset val="128"/>
      </rPr>
      <t>　首都大学東京</t>
    </r>
    <r>
      <rPr>
        <sz val="10.5"/>
        <color indexed="8"/>
        <rFont val="Century"/>
        <family val="1"/>
      </rPr>
      <t xml:space="preserve"> </t>
    </r>
    <r>
      <rPr>
        <sz val="10.5"/>
        <color indexed="8"/>
        <rFont val="ＭＳ Ｐ明朝"/>
        <family val="1"/>
        <charset val="128"/>
      </rPr>
      <t>　都市環境学部　　　　　　〇〇学科</t>
    </r>
    <rPh sb="1" eb="3">
      <t>シュト</t>
    </rPh>
    <rPh sb="3" eb="5">
      <t>ダイガク</t>
    </rPh>
    <rPh sb="5" eb="7">
      <t>トウキョウ</t>
    </rPh>
    <rPh sb="9" eb="11">
      <t>トシ</t>
    </rPh>
    <rPh sb="11" eb="13">
      <t>カンキョウ</t>
    </rPh>
    <rPh sb="13" eb="15">
      <t>ガクブ</t>
    </rPh>
    <rPh sb="23" eb="25">
      <t>ガッカ</t>
    </rPh>
    <phoneticPr fontId="3"/>
  </si>
  <si>
    <t>首都大　花子</t>
    <rPh sb="0" eb="1">
      <t>シュ</t>
    </rPh>
    <rPh sb="1" eb="2">
      <t>ト</t>
    </rPh>
    <rPh sb="2" eb="3">
      <t>ダイ</t>
    </rPh>
    <rPh sb="4" eb="6">
      <t>ハナコ</t>
    </rPh>
    <phoneticPr fontId="3"/>
  </si>
  <si>
    <r>
      <t>交通用具名</t>
    </r>
    <r>
      <rPr>
        <sz val="9"/>
        <rFont val="Century"/>
        <family val="1"/>
      </rPr>
      <t>(</t>
    </r>
    <r>
      <rPr>
        <sz val="9"/>
        <rFont val="ＭＳ 明朝"/>
        <family val="1"/>
        <charset val="128"/>
      </rPr>
      <t>距離</t>
    </r>
    <r>
      <rPr>
        <sz val="9"/>
        <rFont val="Century"/>
        <family val="1"/>
      </rPr>
      <t>)</t>
    </r>
  </si>
  <si>
    <r>
      <t>交通機関路線名</t>
    </r>
    <r>
      <rPr>
        <sz val="9"/>
        <rFont val="Century"/>
        <family val="1"/>
      </rPr>
      <t>(</t>
    </r>
    <r>
      <rPr>
        <sz val="9"/>
        <rFont val="ＭＳ 明朝"/>
        <family val="1"/>
        <charset val="128"/>
      </rPr>
      <t>乗車券種別</t>
    </r>
    <r>
      <rPr>
        <sz val="9"/>
        <rFont val="Century"/>
        <family val="1"/>
      </rPr>
      <t>)</t>
    </r>
  </si>
  <si>
    <r>
      <t>金</t>
    </r>
    <r>
      <rPr>
        <sz val="9"/>
        <rFont val="Century"/>
        <family val="1"/>
      </rPr>
      <t xml:space="preserve"> </t>
    </r>
    <r>
      <rPr>
        <sz val="9"/>
        <rFont val="ＭＳ 明朝"/>
        <family val="1"/>
        <charset val="128"/>
      </rPr>
      <t>額</t>
    </r>
  </si>
  <si>
    <r>
      <t>備</t>
    </r>
    <r>
      <rPr>
        <sz val="9"/>
        <rFont val="Century"/>
        <family val="1"/>
      </rPr>
      <t xml:space="preserve"> </t>
    </r>
    <r>
      <rPr>
        <sz val="9"/>
        <rFont val="ＭＳ 明朝"/>
        <family val="1"/>
        <charset val="128"/>
      </rPr>
      <t>考</t>
    </r>
  </si>
  <si>
    <t>■</t>
  </si>
  <si>
    <t>南千住</t>
    <rPh sb="0" eb="3">
      <t>ミナミセンジュ</t>
    </rPh>
    <phoneticPr fontId="3"/>
  </si>
  <si>
    <r>
      <t>（</t>
    </r>
    <r>
      <rPr>
        <sz val="9"/>
        <rFont val="Century"/>
        <family val="1"/>
      </rPr>
      <t>1</t>
    </r>
    <r>
      <rPr>
        <sz val="9"/>
        <rFont val="ＭＳ 明朝"/>
        <family val="1"/>
        <charset val="128"/>
      </rPr>
      <t>．</t>
    </r>
    <r>
      <rPr>
        <sz val="9"/>
        <rFont val="Century"/>
        <family val="1"/>
      </rPr>
      <t>4</t>
    </r>
    <r>
      <rPr>
        <sz val="9"/>
        <rFont val="ＭＳ 明朝"/>
        <family val="1"/>
        <charset val="128"/>
      </rPr>
      <t>㎞）</t>
    </r>
  </si>
  <si>
    <t>電車</t>
  </si>
  <si>
    <r>
      <t>JR</t>
    </r>
    <r>
      <rPr>
        <sz val="9"/>
        <rFont val="ＭＳ 明朝"/>
        <family val="1"/>
        <charset val="128"/>
      </rPr>
      <t>常磐線</t>
    </r>
  </si>
  <si>
    <t>日暮里</t>
    <rPh sb="0" eb="3">
      <t>ニッポリ</t>
    </rPh>
    <phoneticPr fontId="3"/>
  </si>
  <si>
    <r>
      <t>（</t>
    </r>
    <r>
      <rPr>
        <sz val="9"/>
        <rFont val="Century"/>
        <family val="1"/>
      </rPr>
      <t>3</t>
    </r>
    <r>
      <rPr>
        <sz val="9"/>
        <rFont val="ＭＳ 明朝"/>
        <family val="1"/>
        <charset val="128"/>
      </rPr>
      <t>．</t>
    </r>
    <r>
      <rPr>
        <sz val="9"/>
        <rFont val="Century"/>
        <family val="1"/>
      </rPr>
      <t>4</t>
    </r>
    <r>
      <rPr>
        <sz val="9"/>
        <rFont val="ＭＳ 明朝"/>
        <family val="1"/>
        <charset val="128"/>
      </rPr>
      <t>㎞）</t>
    </r>
  </si>
  <si>
    <t>（普通運賃）</t>
  </si>
  <si>
    <r>
      <t>JR</t>
    </r>
    <r>
      <rPr>
        <sz val="9"/>
        <rFont val="ＭＳ 明朝"/>
        <family val="1"/>
        <charset val="128"/>
      </rPr>
      <t>山手線</t>
    </r>
  </si>
  <si>
    <t>新宿</t>
    <rPh sb="0" eb="2">
      <t>シンジュク</t>
    </rPh>
    <phoneticPr fontId="3"/>
  </si>
  <si>
    <r>
      <t>（</t>
    </r>
    <r>
      <rPr>
        <sz val="9"/>
        <rFont val="Century"/>
        <family val="1"/>
      </rPr>
      <t>11</t>
    </r>
    <r>
      <rPr>
        <sz val="9"/>
        <rFont val="ＭＳ 明朝"/>
        <family val="1"/>
        <charset val="128"/>
      </rPr>
      <t>．</t>
    </r>
    <r>
      <rPr>
        <sz val="9"/>
        <rFont val="Century"/>
        <family val="1"/>
      </rPr>
      <t>3</t>
    </r>
    <r>
      <rPr>
        <sz val="9"/>
        <rFont val="ＭＳ 明朝"/>
        <family val="1"/>
        <charset val="128"/>
      </rPr>
      <t>㎞）</t>
    </r>
  </si>
  <si>
    <t>京王線</t>
  </si>
  <si>
    <t>南大沢</t>
    <rPh sb="0" eb="3">
      <t>ミナミオオサワ</t>
    </rPh>
    <phoneticPr fontId="3"/>
  </si>
  <si>
    <r>
      <t>（</t>
    </r>
    <r>
      <rPr>
        <sz val="9"/>
        <rFont val="Century"/>
        <family val="1"/>
      </rPr>
      <t>33</t>
    </r>
    <r>
      <rPr>
        <sz val="9"/>
        <rFont val="ＭＳ 明朝"/>
        <family val="1"/>
        <charset val="128"/>
      </rPr>
      <t>．</t>
    </r>
    <r>
      <rPr>
        <sz val="9"/>
        <rFont val="Century"/>
        <family val="1"/>
      </rPr>
      <t>7</t>
    </r>
    <r>
      <rPr>
        <sz val="9"/>
        <rFont val="ＭＳ 明朝"/>
        <family val="1"/>
        <charset val="128"/>
      </rPr>
      <t>㎞）</t>
    </r>
  </si>
  <si>
    <t>首都大学東京</t>
    <rPh sb="0" eb="2">
      <t>シュト</t>
    </rPh>
    <rPh sb="2" eb="4">
      <t>ダイガク</t>
    </rPh>
    <rPh sb="4" eb="6">
      <t>トウキョウ</t>
    </rPh>
    <phoneticPr fontId="3"/>
  </si>
  <si>
    <r>
      <t>（</t>
    </r>
    <r>
      <rPr>
        <sz val="9"/>
        <rFont val="Century"/>
        <family val="1"/>
      </rPr>
      <t>0</t>
    </r>
    <r>
      <rPr>
        <sz val="9"/>
        <rFont val="ＭＳ 明朝"/>
        <family val="1"/>
        <charset val="128"/>
      </rPr>
      <t>．</t>
    </r>
    <r>
      <rPr>
        <sz val="9"/>
        <rFont val="Century"/>
        <family val="1"/>
      </rPr>
      <t>8</t>
    </r>
    <r>
      <rPr>
        <sz val="9"/>
        <rFont val="ＭＳ 明朝"/>
        <family val="1"/>
        <charset val="128"/>
      </rPr>
      <t>㎞）</t>
    </r>
  </si>
  <si>
    <r>
      <t>合計　　　　</t>
    </r>
    <r>
      <rPr>
        <sz val="7"/>
        <rFont val="Century"/>
        <family val="1"/>
      </rPr>
      <t xml:space="preserve"> </t>
    </r>
    <r>
      <rPr>
        <sz val="7"/>
        <rFont val="ＭＳ 明朝"/>
        <family val="1"/>
        <charset val="128"/>
      </rPr>
      <t>円</t>
    </r>
  </si>
  <si>
    <t>備考欄
※通勤経路は、自宅付近から最寄駅までの地図を添付していただいても結構です。</t>
    <rPh sb="7" eb="9">
      <t>ツウキン</t>
    </rPh>
    <rPh sb="9" eb="11">
      <t>ケイロ</t>
    </rPh>
    <rPh sb="13" eb="15">
      <t>ジタク</t>
    </rPh>
    <rPh sb="15" eb="17">
      <t>フキン</t>
    </rPh>
    <rPh sb="19" eb="21">
      <t>モヨリ</t>
    </rPh>
    <rPh sb="21" eb="22">
      <t>エキ</t>
    </rPh>
    <rPh sb="25" eb="27">
      <t>チズ</t>
    </rPh>
    <rPh sb="28" eb="30">
      <t>テンプ</t>
    </rPh>
    <rPh sb="38" eb="40">
      <t>ケッコウ</t>
    </rPh>
    <phoneticPr fontId="3"/>
  </si>
  <si>
    <t>東京都荒川区南千住８－１７－１</t>
    <phoneticPr fontId="3"/>
  </si>
  <si>
    <t>昭和・平成</t>
    <rPh sb="0" eb="2">
      <t>ショウワ</t>
    </rPh>
    <rPh sb="3" eb="5">
      <t>ヘイセイ</t>
    </rPh>
    <phoneticPr fontId="3"/>
  </si>
  <si>
    <r>
      <t>※以下、いずれの欄も「年月日」はすべて　</t>
    </r>
    <r>
      <rPr>
        <b/>
        <sz val="9"/>
        <rFont val="ＭＳ 明朝"/>
        <family val="1"/>
        <charset val="128"/>
      </rPr>
      <t>元号　</t>
    </r>
    <r>
      <rPr>
        <sz val="9"/>
        <rFont val="ＭＳ 明朝"/>
        <family val="1"/>
        <charset val="128"/>
      </rPr>
      <t>にて記入すること。また、書ききれない場合は別紙（様式自由）を作成することも可。</t>
    </r>
    <rPh sb="1" eb="3">
      <t>イカ</t>
    </rPh>
    <rPh sb="8" eb="9">
      <t>ラン</t>
    </rPh>
    <rPh sb="11" eb="14">
      <t>ネンガッピ</t>
    </rPh>
    <rPh sb="20" eb="22">
      <t>ゲンゴウ</t>
    </rPh>
    <rPh sb="25" eb="27">
      <t>キニュウ</t>
    </rPh>
    <rPh sb="35" eb="36">
      <t>カ</t>
    </rPh>
    <rPh sb="41" eb="43">
      <t>バアイ</t>
    </rPh>
    <rPh sb="44" eb="46">
      <t>ベッシ</t>
    </rPh>
    <rPh sb="47" eb="49">
      <t>ヨウシキ</t>
    </rPh>
    <rPh sb="49" eb="51">
      <t>ジユウ</t>
    </rPh>
    <rPh sb="53" eb="55">
      <t>サクセイ</t>
    </rPh>
    <rPh sb="60" eb="61">
      <t>カ</t>
    </rPh>
    <phoneticPr fontId="3"/>
  </si>
  <si>
    <t>※日付及び氏名欄については、必ず自署してください。</t>
    <phoneticPr fontId="3"/>
  </si>
  <si>
    <t>　　　年　　月　　日現在</t>
    <rPh sb="3" eb="4">
      <t>ネン</t>
    </rPh>
    <rPh sb="6" eb="7">
      <t>ガツ</t>
    </rPh>
    <rPh sb="9" eb="10">
      <t>ニチ</t>
    </rPh>
    <rPh sb="10" eb="12">
      <t>ゲンザイ</t>
    </rPh>
    <phoneticPr fontId="3"/>
  </si>
  <si>
    <t>　　　　　　　年　　月　　日</t>
    <phoneticPr fontId="3"/>
  </si>
  <si>
    <t>　　　年　　　月　　　日</t>
    <phoneticPr fontId="3"/>
  </si>
  <si>
    <t>　　年　　　月　　　日</t>
    <phoneticPr fontId="3"/>
  </si>
  <si>
    <r>
      <t>※以下、いずれの欄も「年月日」はすべて　</t>
    </r>
    <r>
      <rPr>
        <b/>
        <sz val="11"/>
        <color rgb="FFFF0000"/>
        <rFont val="ＭＳ 明朝"/>
        <family val="1"/>
        <charset val="128"/>
      </rPr>
      <t>元号</t>
    </r>
    <r>
      <rPr>
        <b/>
        <sz val="9"/>
        <rFont val="ＭＳ 明朝"/>
        <family val="1"/>
        <charset val="128"/>
      </rPr>
      <t>　</t>
    </r>
    <r>
      <rPr>
        <sz val="9"/>
        <rFont val="ＭＳ 明朝"/>
        <family val="1"/>
        <charset val="128"/>
      </rPr>
      <t>にて記入すること。また、書ききれない場合は別紙（様式自由）を作成することも可。</t>
    </r>
    <rPh sb="1" eb="3">
      <t>イカ</t>
    </rPh>
    <rPh sb="8" eb="9">
      <t>ラン</t>
    </rPh>
    <rPh sb="11" eb="14">
      <t>ネンガッピ</t>
    </rPh>
    <rPh sb="20" eb="22">
      <t>ゲンゴウ</t>
    </rPh>
    <rPh sb="25" eb="27">
      <t>キニュウ</t>
    </rPh>
    <rPh sb="35" eb="36">
      <t>カ</t>
    </rPh>
    <rPh sb="41" eb="43">
      <t>バアイ</t>
    </rPh>
    <rPh sb="44" eb="46">
      <t>ベッシ</t>
    </rPh>
    <rPh sb="47" eb="49">
      <t>ヨウシキ</t>
    </rPh>
    <rPh sb="49" eb="51">
      <t>ジユウ</t>
    </rPh>
    <rPh sb="53" eb="55">
      <t>サクセイ</t>
    </rPh>
    <rPh sb="60" eb="61">
      <t>カ</t>
    </rPh>
    <phoneticPr fontId="3"/>
  </si>
  <si>
    <t xml:space="preserve">　　　　　　　　　　　　　　　　　　　　　　　　　　　　　　　　　　　　　　　　　　　　　　　　　　　　　職歴（法人における職歴）
※　記載日時点で本契約の他に法人に対して、応募中のものや雇用契約を締結（予定も含む）しているものがあれば記入すること
※　書ききれない場合は、別紙に記入すること
</t>
    <phoneticPr fontId="25"/>
  </si>
</sst>
</file>

<file path=xl/styles.xml><?xml version="1.0" encoding="utf-8"?>
<styleSheet xmlns="http://schemas.openxmlformats.org/spreadsheetml/2006/main" xmlns:mc="http://schemas.openxmlformats.org/markup-compatibility/2006" xmlns:x14ac="http://schemas.microsoft.com/office/spreadsheetml/2009/9/ac" mc:Ignorable="x14ac">
  <numFmts count="21">
    <numFmt numFmtId="6" formatCode="&quot;¥&quot;#,##0;[Red]&quot;¥&quot;\-#,##0"/>
    <numFmt numFmtId="176" formatCode="#"/>
    <numFmt numFmtId="177" formatCode="[$-411]ggge&quot;年&quot;m&quot;月&quot;d&quot;日&quot;;@"/>
    <numFmt numFmtId="178" formatCode="[$-411]ggge&quot;年&quot;m&quot;月&quot;d&quot;日　から&quot;;@"/>
    <numFmt numFmtId="179" formatCode="[$-411]ggge&quot;年&quot;m&quot;月&quot;d&quot;日　まで&quot;;@"/>
    <numFmt numFmtId="180" formatCode="#&quot;　件&quot;"/>
    <numFmt numFmtId="181" formatCode="&quot;賃）&quot;@"/>
    <numFmt numFmtId="182" formatCode="#,##0&quot;円&quot;"/>
    <numFmt numFmtId="183" formatCode="#,##0&quot; 円　　　&quot;"/>
    <numFmt numFmtId="184" formatCode="&quot;週&quot;&quot;当&quot;&quot;た&quot;&quot;り&quot;#,##0&quot;日&quot;;[Red]&quot;週&quot;&quot;当&quot;&quot;た&quot;&quot;り&quot;&quot;△&quot;#,##0&quot;日&quot;"/>
    <numFmt numFmtId="185" formatCode="\1&quot;日&quot;&quot;当&quot;&quot;た&quot;&quot;り&quot;#,##0&quot;時&quot;&quot;間&quot;;[Red]\1&quot;日&quot;&quot;当&quot;&quot;た&quot;&quot;り&quot;&quot;△&quot;#,##0&quot;時&quot;&quot;間&quot;"/>
    <numFmt numFmtId="186" formatCode="#,##0&quot; 円&quot;"/>
    <numFmt numFmtId="187" formatCode="m&quot;月&quot;d&quot;日&quot;;@"/>
    <numFmt numFmtId="188" formatCode="&quot;賃金（&quot;@\ &quot;・&quot;"/>
    <numFmt numFmtId="189" formatCode="0.00&quot; 時間&quot;"/>
    <numFmt numFmtId="190" formatCode="[$-411]ge\.m\.d;@"/>
    <numFmt numFmtId="191" formatCode="0&quot; 日&quot;"/>
    <numFmt numFmtId="192" formatCode="#&quot;号により決定&quot;"/>
    <numFmt numFmtId="193" formatCode="#,##0&quot; 日&quot;"/>
    <numFmt numFmtId="194" formatCode="#,##0_);[Red]\(#,##0\)"/>
    <numFmt numFmtId="195" formatCode="&quot;合&quot;&quot;計&quot;#,###&quot;円&quot;"/>
  </numFmts>
  <fonts count="137">
    <font>
      <sz val="11"/>
      <name val="ＭＳ Ｐゴシック"/>
      <family val="3"/>
      <charset val="128"/>
    </font>
    <font>
      <sz val="11"/>
      <color indexed="8"/>
      <name val="ＭＳ Ｐゴシック"/>
      <family val="3"/>
      <charset val="128"/>
    </font>
    <font>
      <sz val="11"/>
      <name val="ＭＳ Ｐゴシック"/>
      <family val="3"/>
      <charset val="128"/>
    </font>
    <font>
      <sz val="6"/>
      <name val="ＭＳ Ｐゴシック"/>
      <family val="3"/>
      <charset val="128"/>
    </font>
    <font>
      <sz val="11"/>
      <name val="ＭＳ 明朝"/>
      <family val="1"/>
      <charset val="128"/>
    </font>
    <font>
      <b/>
      <sz val="11"/>
      <name val="ＭＳ Ｐゴシック"/>
      <family val="3"/>
      <charset val="128"/>
    </font>
    <font>
      <sz val="9"/>
      <color indexed="81"/>
      <name val="ＭＳ Ｐゴシック"/>
      <family val="3"/>
      <charset val="128"/>
    </font>
    <font>
      <b/>
      <sz val="9"/>
      <color indexed="81"/>
      <name val="ＭＳ Ｐゴシック"/>
      <family val="3"/>
      <charset val="128"/>
    </font>
    <font>
      <b/>
      <sz val="9"/>
      <color indexed="12"/>
      <name val="ＭＳ Ｐゴシック"/>
      <family val="3"/>
      <charset val="128"/>
    </font>
    <font>
      <b/>
      <sz val="11"/>
      <color indexed="12"/>
      <name val="ＭＳ Ｐゴシック"/>
      <family val="3"/>
      <charset val="128"/>
    </font>
    <font>
      <b/>
      <sz val="9"/>
      <color indexed="10"/>
      <name val="ＭＳ Ｐゴシック"/>
      <family val="3"/>
      <charset val="128"/>
    </font>
    <font>
      <sz val="11"/>
      <name val="ＭＳ Ｐ明朝"/>
      <family val="1"/>
      <charset val="128"/>
    </font>
    <font>
      <sz val="11"/>
      <name val="ＭＳ Ｐゴシック"/>
      <family val="3"/>
      <charset val="128"/>
    </font>
    <font>
      <sz val="8"/>
      <name val="ＭＳ Ｐ明朝"/>
      <family val="1"/>
      <charset val="128"/>
    </font>
    <font>
      <sz val="9"/>
      <name val="ＭＳ 明朝"/>
      <family val="1"/>
      <charset val="128"/>
    </font>
    <font>
      <sz val="9"/>
      <name val="ＭＳ Ｐゴシック"/>
      <family val="3"/>
      <charset val="128"/>
    </font>
    <font>
      <sz val="8"/>
      <color indexed="23"/>
      <name val="ＭＳ Ｐ明朝"/>
      <family val="1"/>
      <charset val="128"/>
    </font>
    <font>
      <sz val="11"/>
      <color indexed="10"/>
      <name val="ＭＳ Ｐゴシック"/>
      <family val="3"/>
      <charset val="128"/>
    </font>
    <font>
      <sz val="6"/>
      <color indexed="55"/>
      <name val="ＭＳ Ｐゴシック"/>
      <family val="3"/>
      <charset val="128"/>
    </font>
    <font>
      <sz val="1"/>
      <name val="ＭＳ Ｐ明朝"/>
      <family val="1"/>
      <charset val="128"/>
    </font>
    <font>
      <sz val="10"/>
      <name val="ＭＳ 明朝"/>
      <family val="1"/>
      <charset val="128"/>
    </font>
    <font>
      <b/>
      <sz val="11"/>
      <color indexed="10"/>
      <name val="ＭＳ Ｐゴシック"/>
      <family val="3"/>
      <charset val="128"/>
    </font>
    <font>
      <b/>
      <sz val="26"/>
      <name val="ＭＳ Ｐゴシック"/>
      <family val="3"/>
      <charset val="128"/>
    </font>
    <font>
      <sz val="11"/>
      <name val="ＭＳ Ｐゴシック"/>
      <family val="3"/>
      <charset val="128"/>
    </font>
    <font>
      <sz val="8"/>
      <name val="ＭＳ 明朝"/>
      <family val="1"/>
      <charset val="128"/>
    </font>
    <font>
      <sz val="6"/>
      <name val="ＭＳ 明朝"/>
      <family val="1"/>
      <charset val="128"/>
    </font>
    <font>
      <b/>
      <sz val="11"/>
      <name val="ＭＳ Ｐ明朝"/>
      <family val="1"/>
      <charset val="128"/>
    </font>
    <font>
      <b/>
      <sz val="14"/>
      <name val="ＭＳ Ｐゴシック"/>
      <family val="3"/>
      <charset val="128"/>
    </font>
    <font>
      <sz val="12"/>
      <name val="ＭＳ Ｐゴシック"/>
      <family val="3"/>
      <charset val="128"/>
    </font>
    <font>
      <sz val="8"/>
      <color indexed="23"/>
      <name val="ＭＳ Ｐゴシック"/>
      <family val="3"/>
      <charset val="128"/>
    </font>
    <font>
      <sz val="10"/>
      <color indexed="22"/>
      <name val="ＭＳ 明朝"/>
      <family val="1"/>
      <charset val="128"/>
    </font>
    <font>
      <sz val="16"/>
      <name val="HG丸ｺﾞｼｯｸM-PRO"/>
      <family val="3"/>
      <charset val="128"/>
    </font>
    <font>
      <sz val="12"/>
      <name val="HG丸ｺﾞｼｯｸM-PRO"/>
      <family val="3"/>
      <charset val="128"/>
    </font>
    <font>
      <b/>
      <sz val="14"/>
      <name val="HG丸ｺﾞｼｯｸM-PRO"/>
      <family val="3"/>
      <charset val="128"/>
    </font>
    <font>
      <sz val="11"/>
      <name val="ＭＳ Ｐゴシック"/>
      <family val="3"/>
      <charset val="128"/>
    </font>
    <font>
      <b/>
      <sz val="16"/>
      <name val="HG丸ｺﾞｼｯｸM-PRO"/>
      <family val="3"/>
      <charset val="128"/>
    </font>
    <font>
      <sz val="11"/>
      <color indexed="81"/>
      <name val="ＭＳ Ｐゴシック"/>
      <family val="3"/>
      <charset val="128"/>
    </font>
    <font>
      <sz val="11"/>
      <color indexed="8"/>
      <name val="ＭＳ Ｐゴシック"/>
      <family val="3"/>
      <charset val="128"/>
    </font>
    <font>
      <b/>
      <sz val="11"/>
      <color indexed="8"/>
      <name val="ＭＳ Ｐゴシック"/>
      <family val="3"/>
      <charset val="128"/>
    </font>
    <font>
      <b/>
      <sz val="12"/>
      <color indexed="10"/>
      <name val="HG丸ｺﾞｼｯｸM-PRO"/>
      <family val="3"/>
      <charset val="128"/>
    </font>
    <font>
      <b/>
      <sz val="9"/>
      <color indexed="8"/>
      <name val="ＭＳ Ｐゴシック"/>
      <family val="3"/>
      <charset val="128"/>
    </font>
    <font>
      <b/>
      <sz val="12"/>
      <name val="HG丸ｺﾞｼｯｸM-PRO"/>
      <family val="3"/>
      <charset val="128"/>
    </font>
    <font>
      <b/>
      <u val="double"/>
      <sz val="16"/>
      <name val="HG丸ｺﾞｼｯｸM-PRO"/>
      <family val="3"/>
      <charset val="128"/>
    </font>
    <font>
      <sz val="9"/>
      <color indexed="10"/>
      <name val="ＭＳ Ｐゴシック"/>
      <family val="3"/>
      <charset val="128"/>
    </font>
    <font>
      <b/>
      <sz val="12"/>
      <name val="ＭＳ Ｐゴシック"/>
      <family val="3"/>
      <charset val="128"/>
    </font>
    <font>
      <sz val="16"/>
      <name val="ＭＳ Ｐゴシック"/>
      <family val="3"/>
      <charset val="128"/>
    </font>
    <font>
      <b/>
      <sz val="14"/>
      <color indexed="8"/>
      <name val="HG丸ｺﾞｼｯｸM-PRO"/>
      <family val="3"/>
      <charset val="128"/>
    </font>
    <font>
      <b/>
      <sz val="16"/>
      <name val="ＭＳ Ｐゴシック"/>
      <family val="3"/>
      <charset val="128"/>
    </font>
    <font>
      <sz val="12"/>
      <name val="ＭＳ 明朝"/>
      <family val="1"/>
      <charset val="128"/>
    </font>
    <font>
      <b/>
      <sz val="11"/>
      <name val="HG丸ｺﾞｼｯｸM-PRO"/>
      <family val="3"/>
      <charset val="128"/>
    </font>
    <font>
      <sz val="20"/>
      <name val="ＭＳ Ｐゴシック"/>
      <family val="3"/>
      <charset val="128"/>
    </font>
    <font>
      <sz val="13"/>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b/>
      <sz val="14"/>
      <color indexed="10"/>
      <name val="ＭＳ Ｐ明朝"/>
      <family val="1"/>
      <charset val="128"/>
    </font>
    <font>
      <b/>
      <sz val="16"/>
      <color indexed="10"/>
      <name val="ＭＳ Ｐ明朝"/>
      <family val="1"/>
      <charset val="128"/>
    </font>
    <font>
      <b/>
      <sz val="11"/>
      <color indexed="12"/>
      <name val="ＭＳ Ｐ明朝"/>
      <family val="1"/>
      <charset val="128"/>
    </font>
    <font>
      <i/>
      <sz val="11"/>
      <name val="ＭＳ Ｐ明朝"/>
      <family val="1"/>
      <charset val="128"/>
    </font>
    <font>
      <b/>
      <sz val="10"/>
      <name val="HG丸ｺﾞｼｯｸM-PRO"/>
      <family val="3"/>
      <charset val="128"/>
    </font>
    <font>
      <b/>
      <sz val="12"/>
      <color indexed="9"/>
      <name val="HG丸ｺﾞｼｯｸM-PRO"/>
      <family val="3"/>
      <charset val="128"/>
    </font>
    <font>
      <sz val="10"/>
      <name val="ＭＳ Ｐ明朝"/>
      <family val="1"/>
      <charset val="128"/>
    </font>
    <font>
      <sz val="11"/>
      <color indexed="9"/>
      <name val="ＭＳ Ｐ明朝"/>
      <family val="1"/>
      <charset val="128"/>
    </font>
    <font>
      <sz val="10"/>
      <name val="ＭＳ Ｐゴシック"/>
      <family val="3"/>
      <charset val="128"/>
    </font>
    <font>
      <b/>
      <sz val="10"/>
      <color indexed="10"/>
      <name val="ＭＳ Ｐゴシック"/>
      <family val="3"/>
      <charset val="128"/>
    </font>
    <font>
      <sz val="9"/>
      <name val="ＭＳ Ｐ明朝"/>
      <family val="1"/>
      <charset val="128"/>
    </font>
    <font>
      <b/>
      <sz val="12"/>
      <color indexed="8"/>
      <name val="HG丸ｺﾞｼｯｸM-PRO"/>
      <family val="3"/>
      <charset val="128"/>
    </font>
    <font>
      <b/>
      <sz val="14"/>
      <name val="ＭＳ Ｐ明朝"/>
      <family val="1"/>
      <charset val="128"/>
    </font>
    <font>
      <sz val="14"/>
      <name val="ＭＳ Ｐゴシック"/>
      <family val="3"/>
      <charset val="128"/>
    </font>
    <font>
      <sz val="9.5"/>
      <name val="ＭＳ Ｐゴシック"/>
      <family val="3"/>
      <charset val="128"/>
    </font>
    <font>
      <sz val="9"/>
      <color indexed="27"/>
      <name val="明朝"/>
      <family val="1"/>
      <charset val="128"/>
    </font>
    <font>
      <sz val="12"/>
      <name val="ＭＳ ゴシック"/>
      <family val="3"/>
      <charset val="128"/>
    </font>
    <font>
      <sz val="11"/>
      <name val="ＭＳ ゴシック"/>
      <family val="3"/>
      <charset val="128"/>
    </font>
    <font>
      <sz val="14"/>
      <name val="ＭＳ ゴシック"/>
      <family val="3"/>
      <charset val="128"/>
    </font>
    <font>
      <sz val="10"/>
      <name val="ＭＳ ゴシック"/>
      <family val="3"/>
      <charset val="128"/>
    </font>
    <font>
      <sz val="9"/>
      <name val="ＭＳ ゴシック"/>
      <family val="3"/>
      <charset val="128"/>
    </font>
    <font>
      <sz val="6"/>
      <name val="ＭＳ ゴシック"/>
      <family val="3"/>
      <charset val="128"/>
    </font>
    <font>
      <sz val="8"/>
      <name val="ＭＳ ゴシック"/>
      <family val="3"/>
      <charset val="128"/>
    </font>
    <font>
      <b/>
      <sz val="10"/>
      <name val="ＭＳ ゴシック"/>
      <family val="3"/>
      <charset val="128"/>
    </font>
    <font>
      <b/>
      <sz val="11"/>
      <name val="ＭＳ ゴシック"/>
      <family val="3"/>
      <charset val="128"/>
    </font>
    <font>
      <sz val="10.5"/>
      <name val="ＭＳ 明朝"/>
      <family val="1"/>
      <charset val="128"/>
    </font>
    <font>
      <b/>
      <sz val="16"/>
      <name val="ＭＳ 明朝"/>
      <family val="1"/>
      <charset val="128"/>
    </font>
    <font>
      <sz val="11"/>
      <color theme="1"/>
      <name val="ＭＳ Ｐゴシック"/>
      <family val="3"/>
      <charset val="128"/>
      <scheme val="minor"/>
    </font>
    <font>
      <b/>
      <u/>
      <sz val="14"/>
      <color rgb="FFFF0000"/>
      <name val="ＭＳ Ｐゴシック"/>
      <family val="3"/>
      <charset val="128"/>
    </font>
    <font>
      <sz val="11"/>
      <name val="ＭＳ Ｐゴシック"/>
      <family val="3"/>
      <charset val="128"/>
      <scheme val="major"/>
    </font>
    <font>
      <sz val="14"/>
      <name val="ＭＳ Ｐゴシック"/>
      <family val="3"/>
      <charset val="128"/>
      <scheme val="major"/>
    </font>
    <font>
      <sz val="8"/>
      <color theme="1"/>
      <name val="ＭＳ 明朝"/>
      <family val="1"/>
      <charset val="128"/>
    </font>
    <font>
      <sz val="9"/>
      <color theme="1"/>
      <name val="ＭＳ 明朝"/>
      <family val="1"/>
      <charset val="128"/>
    </font>
    <font>
      <b/>
      <sz val="9"/>
      <name val="ＭＳ 明朝"/>
      <family val="1"/>
      <charset val="128"/>
    </font>
    <font>
      <sz val="14"/>
      <color theme="1"/>
      <name val="ＭＳ Ｐゴシック"/>
      <family val="3"/>
      <charset val="128"/>
    </font>
    <font>
      <sz val="10.5"/>
      <color theme="1"/>
      <name val="Century"/>
      <family val="1"/>
    </font>
    <font>
      <sz val="10.5"/>
      <color theme="1"/>
      <name val="ＭＳ 明朝"/>
      <family val="1"/>
      <charset val="128"/>
    </font>
    <font>
      <sz val="9"/>
      <color theme="1"/>
      <name val="Century"/>
      <family val="1"/>
    </font>
    <font>
      <sz val="10.5"/>
      <color theme="1"/>
      <name val="ＭＳ Ｐ明朝"/>
      <family val="1"/>
      <charset val="128"/>
    </font>
    <font>
      <sz val="5"/>
      <color theme="1"/>
      <name val="Century"/>
      <family val="1"/>
    </font>
    <font>
      <sz val="10.5"/>
      <color theme="1"/>
      <name val="ＭＳ ゴシック"/>
      <family val="3"/>
      <charset val="128"/>
    </font>
    <font>
      <sz val="10"/>
      <color theme="1"/>
      <name val="Century"/>
      <family val="1"/>
    </font>
    <font>
      <sz val="9"/>
      <color indexed="8"/>
      <name val="Century"/>
      <family val="1"/>
    </font>
    <font>
      <sz val="9"/>
      <color indexed="8"/>
      <name val="ＭＳ 明朝"/>
      <family val="1"/>
      <charset val="128"/>
    </font>
    <font>
      <sz val="11"/>
      <color theme="1"/>
      <name val="ＭＳ 明朝"/>
      <family val="1"/>
      <charset val="128"/>
    </font>
    <font>
      <sz val="10"/>
      <color theme="1"/>
      <name val="ＭＳ Ｐゴシック"/>
      <family val="3"/>
      <charset val="128"/>
      <scheme val="minor"/>
    </font>
    <font>
      <b/>
      <sz val="10"/>
      <color theme="1"/>
      <name val="HGS創英角ﾎﾟｯﾌﾟ体"/>
      <family val="3"/>
      <charset val="128"/>
    </font>
    <font>
      <sz val="7"/>
      <color theme="1"/>
      <name val="ＭＳ 明朝"/>
      <family val="1"/>
      <charset val="128"/>
    </font>
    <font>
      <sz val="8"/>
      <color theme="1"/>
      <name val="Century"/>
      <family val="1"/>
    </font>
    <font>
      <sz val="8"/>
      <color theme="1"/>
      <name val="ＭＳ Ｐゴシック"/>
      <family val="3"/>
      <charset val="128"/>
    </font>
    <font>
      <sz val="9"/>
      <color theme="1"/>
      <name val="ＭＳ Ｐゴシック"/>
      <family val="3"/>
      <charset val="128"/>
    </font>
    <font>
      <sz val="9"/>
      <color indexed="8"/>
      <name val="ＭＳ Ｐゴシック"/>
      <family val="3"/>
      <charset val="128"/>
    </font>
    <font>
      <sz val="10"/>
      <color rgb="FF000000"/>
      <name val="ＭＳ Ｐゴシック"/>
      <family val="3"/>
      <charset val="128"/>
      <scheme val="minor"/>
    </font>
    <font>
      <sz val="9"/>
      <color theme="1"/>
      <name val="ＭＳ Ｐゴシック"/>
      <family val="3"/>
      <charset val="128"/>
      <scheme val="minor"/>
    </font>
    <font>
      <sz val="9.5"/>
      <color theme="1"/>
      <name val="ＭＳ Ｐゴシック"/>
      <family val="3"/>
      <charset val="128"/>
    </font>
    <font>
      <sz val="7"/>
      <color theme="1"/>
      <name val="ＭＳ Ｐゴシック"/>
      <family val="3"/>
      <charset val="128"/>
    </font>
    <font>
      <sz val="10.5"/>
      <color indexed="8"/>
      <name val="Century"/>
      <family val="1"/>
    </font>
    <font>
      <sz val="10.5"/>
      <color indexed="8"/>
      <name val="ＭＳ Ｐ明朝"/>
      <family val="1"/>
      <charset val="128"/>
    </font>
    <font>
      <sz val="12"/>
      <color theme="1"/>
      <name val="ＭＳ Ｐ明朝"/>
      <family val="1"/>
      <charset val="128"/>
    </font>
    <font>
      <sz val="12"/>
      <color theme="1"/>
      <name val="Century"/>
      <family val="1"/>
    </font>
    <font>
      <sz val="10"/>
      <color theme="1"/>
      <name val="ＭＳ Ｐ明朝"/>
      <family val="1"/>
      <charset val="128"/>
    </font>
    <font>
      <sz val="9"/>
      <name val="Century"/>
      <family val="1"/>
    </font>
    <font>
      <sz val="9"/>
      <color theme="1"/>
      <name val="ＭＳ Ｐ明朝"/>
      <family val="1"/>
      <charset val="128"/>
    </font>
    <font>
      <sz val="7"/>
      <name val="ＭＳ 明朝"/>
      <family val="1"/>
      <charset val="128"/>
    </font>
    <font>
      <sz val="8"/>
      <name val="Century"/>
      <family val="1"/>
    </font>
    <font>
      <sz val="8"/>
      <name val="ＭＳ Ｐゴシック"/>
      <family val="3"/>
      <charset val="128"/>
    </font>
    <font>
      <sz val="7"/>
      <name val="Century"/>
      <family val="1"/>
    </font>
    <font>
      <b/>
      <sz val="12"/>
      <color indexed="10"/>
      <name val="ＭＳ Ｐゴシック"/>
      <family val="3"/>
      <charset val="128"/>
    </font>
    <font>
      <sz val="10"/>
      <color indexed="81"/>
      <name val="ＭＳ Ｐゴシック"/>
      <family val="3"/>
      <charset val="128"/>
    </font>
    <font>
      <sz val="10"/>
      <color theme="1"/>
      <name val="ＭＳ 明朝"/>
      <family val="1"/>
      <charset val="128"/>
    </font>
    <font>
      <b/>
      <sz val="11"/>
      <color rgb="FFFF0000"/>
      <name val="ＭＳ 明朝"/>
      <family val="1"/>
      <charset val="128"/>
    </font>
  </fonts>
  <fills count="43">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mediumGray">
        <fgColor indexed="8"/>
        <bgColor indexed="37"/>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43"/>
        <bgColor indexed="64"/>
      </patternFill>
    </fill>
    <fill>
      <patternFill patternType="solid">
        <fgColor indexed="13"/>
        <bgColor indexed="64"/>
      </patternFill>
    </fill>
    <fill>
      <patternFill patternType="solid">
        <fgColor indexed="41"/>
        <bgColor indexed="64"/>
      </patternFill>
    </fill>
    <fill>
      <patternFill patternType="solid">
        <fgColor indexed="23"/>
        <bgColor indexed="64"/>
      </patternFill>
    </fill>
    <fill>
      <patternFill patternType="solid">
        <fgColor indexed="42"/>
        <bgColor indexed="64"/>
      </patternFill>
    </fill>
    <fill>
      <patternFill patternType="solid">
        <fgColor indexed="9"/>
        <bgColor indexed="64"/>
      </patternFill>
    </fill>
    <fill>
      <patternFill patternType="solid">
        <fgColor indexed="51"/>
        <bgColor indexed="64"/>
      </patternFill>
    </fill>
    <fill>
      <patternFill patternType="solid">
        <fgColor indexed="45"/>
        <bgColor indexed="64"/>
      </patternFill>
    </fill>
    <fill>
      <patternFill patternType="solid">
        <fgColor indexed="47"/>
        <bgColor indexed="64"/>
      </patternFill>
    </fill>
    <fill>
      <patternFill patternType="solid">
        <fgColor rgb="FFCCFFFF"/>
        <bgColor indexed="64"/>
      </patternFill>
    </fill>
    <fill>
      <patternFill patternType="solid">
        <fgColor rgb="FFFFFF99"/>
        <bgColor indexed="64"/>
      </patternFill>
    </fill>
    <fill>
      <patternFill patternType="solid">
        <fgColor theme="0"/>
        <bgColor indexed="64"/>
      </patternFill>
    </fill>
    <fill>
      <patternFill patternType="solid">
        <fgColor theme="9" tint="0.59999389629810485"/>
        <bgColor indexed="64"/>
      </patternFill>
    </fill>
    <fill>
      <patternFill patternType="solid">
        <fgColor rgb="FFCCFFCC"/>
        <bgColor indexed="64"/>
      </patternFill>
    </fill>
    <fill>
      <patternFill patternType="solid">
        <fgColor theme="8" tint="0.79998168889431442"/>
        <bgColor indexed="64"/>
      </patternFill>
    </fill>
    <fill>
      <patternFill patternType="solid">
        <fgColor rgb="FFFF99CC"/>
        <bgColor indexed="64"/>
      </patternFill>
    </fill>
    <fill>
      <patternFill patternType="solid">
        <fgColor rgb="FF92D050"/>
        <bgColor indexed="64"/>
      </patternFill>
    </fill>
    <fill>
      <patternFill patternType="solid">
        <fgColor rgb="FFD9D9D9"/>
        <bgColor indexed="64"/>
      </patternFill>
    </fill>
  </fills>
  <borders count="256">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style="hair">
        <color indexed="64"/>
      </bottom>
      <diagonal/>
    </border>
    <border>
      <left style="thin">
        <color indexed="64"/>
      </left>
      <right/>
      <top style="thin">
        <color indexed="64"/>
      </top>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top/>
      <bottom/>
      <diagonal/>
    </border>
    <border>
      <left style="thin">
        <color indexed="64"/>
      </left>
      <right/>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bottom style="thin">
        <color indexed="64"/>
      </bottom>
      <diagonal/>
    </border>
    <border>
      <left style="thin">
        <color indexed="64"/>
      </left>
      <right style="hair">
        <color indexed="64"/>
      </right>
      <top style="thin">
        <color indexed="64"/>
      </top>
      <bottom style="medium">
        <color indexed="64"/>
      </bottom>
      <diagonal/>
    </border>
    <border>
      <left style="medium">
        <color indexed="64"/>
      </left>
      <right style="hair">
        <color indexed="64"/>
      </right>
      <top style="medium">
        <color indexed="64"/>
      </top>
      <bottom style="thin">
        <color indexed="64"/>
      </bottom>
      <diagonal/>
    </border>
    <border>
      <left style="medium">
        <color indexed="64"/>
      </left>
      <right style="hair">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style="hair">
        <color indexed="64"/>
      </left>
      <right/>
      <top style="hair">
        <color indexed="64"/>
      </top>
      <bottom style="hair">
        <color indexed="64"/>
      </bottom>
      <diagonal/>
    </border>
    <border>
      <left/>
      <right style="thin">
        <color indexed="64"/>
      </right>
      <top style="thin">
        <color indexed="64"/>
      </top>
      <bottom style="thin">
        <color indexed="64"/>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bottom style="hair">
        <color indexed="64"/>
      </bottom>
      <diagonal/>
    </border>
    <border>
      <left style="medium">
        <color indexed="64"/>
      </left>
      <right style="hair">
        <color indexed="64"/>
      </right>
      <top style="hair">
        <color indexed="64"/>
      </top>
      <bottom style="medium">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hair">
        <color indexed="64"/>
      </right>
      <top style="medium">
        <color indexed="64"/>
      </top>
      <bottom/>
      <diagonal/>
    </border>
    <border>
      <left/>
      <right/>
      <top/>
      <bottom style="thin">
        <color indexed="64"/>
      </bottom>
      <diagonal/>
    </border>
    <border>
      <left/>
      <right/>
      <top style="medium">
        <color indexed="64"/>
      </top>
      <bottom style="thin">
        <color indexed="64"/>
      </bottom>
      <diagonal/>
    </border>
    <border>
      <left/>
      <right style="hair">
        <color indexed="64"/>
      </right>
      <top style="hair">
        <color indexed="64"/>
      </top>
      <bottom style="hair">
        <color indexed="64"/>
      </bottom>
      <diagonal/>
    </border>
    <border>
      <left style="thick">
        <color indexed="64"/>
      </left>
      <right style="thick">
        <color indexed="64"/>
      </right>
      <top style="thick">
        <color indexed="64"/>
      </top>
      <bottom style="thick">
        <color indexed="64"/>
      </bottom>
      <diagonal/>
    </border>
    <border>
      <left style="thick">
        <color indexed="8"/>
      </left>
      <right style="hair">
        <color indexed="12"/>
      </right>
      <top style="thick">
        <color indexed="8"/>
      </top>
      <bottom style="thick">
        <color indexed="8"/>
      </bottom>
      <diagonal/>
    </border>
    <border>
      <left/>
      <right style="medium">
        <color indexed="64"/>
      </right>
      <top/>
      <bottom/>
      <diagonal/>
    </border>
    <border>
      <left style="thin">
        <color indexed="64"/>
      </left>
      <right style="hair">
        <color indexed="64"/>
      </right>
      <top/>
      <bottom style="thin">
        <color indexed="64"/>
      </bottom>
      <diagonal/>
    </border>
    <border>
      <left style="thick">
        <color indexed="64"/>
      </left>
      <right style="hair">
        <color indexed="64"/>
      </right>
      <top style="thick">
        <color indexed="64"/>
      </top>
      <bottom style="thick">
        <color indexed="64"/>
      </bottom>
      <diagonal/>
    </border>
    <border>
      <left/>
      <right style="medium">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hair">
        <color indexed="64"/>
      </bottom>
      <diagonal/>
    </border>
    <border>
      <left style="medium">
        <color indexed="64"/>
      </left>
      <right/>
      <top style="medium">
        <color indexed="64"/>
      </top>
      <bottom/>
      <diagonal/>
    </border>
    <border>
      <left style="hair">
        <color indexed="64"/>
      </left>
      <right/>
      <top style="medium">
        <color indexed="64"/>
      </top>
      <bottom style="hair">
        <color indexed="64"/>
      </bottom>
      <diagonal/>
    </border>
    <border>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top/>
      <bottom/>
      <diagonal/>
    </border>
    <border>
      <left style="medium">
        <color indexed="64"/>
      </left>
      <right/>
      <top/>
      <bottom style="medium">
        <color indexed="64"/>
      </bottom>
      <diagonal/>
    </border>
    <border>
      <left style="hair">
        <color indexed="64"/>
      </left>
      <right/>
      <top style="hair">
        <color indexed="64"/>
      </top>
      <bottom style="medium">
        <color indexed="64"/>
      </bottom>
      <diagonal/>
    </border>
    <border>
      <left/>
      <right style="hair">
        <color indexed="64"/>
      </right>
      <top style="hair">
        <color indexed="64"/>
      </top>
      <bottom style="medium">
        <color indexed="64"/>
      </bottom>
      <diagonal/>
    </border>
    <border>
      <left style="medium">
        <color indexed="64"/>
      </left>
      <right style="hair">
        <color indexed="64"/>
      </right>
      <top style="thin">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style="medium">
        <color indexed="64"/>
      </bottom>
      <diagonal/>
    </border>
    <border>
      <left/>
      <right style="thin">
        <color indexed="64"/>
      </right>
      <top style="hair">
        <color indexed="64"/>
      </top>
      <bottom/>
      <diagonal/>
    </border>
    <border>
      <left/>
      <right style="thin">
        <color indexed="64"/>
      </right>
      <top style="hair">
        <color indexed="64"/>
      </top>
      <bottom style="thin">
        <color indexed="64"/>
      </bottom>
      <diagonal/>
    </border>
    <border>
      <left style="hair">
        <color indexed="64"/>
      </left>
      <right style="medium">
        <color indexed="64"/>
      </right>
      <top style="thin">
        <color indexed="64"/>
      </top>
      <bottom style="hair">
        <color indexed="64"/>
      </bottom>
      <diagonal/>
    </border>
    <border>
      <left/>
      <right/>
      <top style="hair">
        <color indexed="64"/>
      </top>
      <bottom style="hair">
        <color indexed="64"/>
      </bottom>
      <diagonal/>
    </border>
    <border>
      <left/>
      <right/>
      <top/>
      <bottom style="medium">
        <color indexed="64"/>
      </bottom>
      <diagonal/>
    </border>
    <border>
      <left style="thin">
        <color indexed="64"/>
      </left>
      <right/>
      <top style="thin">
        <color indexed="64"/>
      </top>
      <bottom style="dashed">
        <color indexed="64"/>
      </bottom>
      <diagonal/>
    </border>
    <border>
      <left/>
      <right/>
      <top style="thin">
        <color indexed="64"/>
      </top>
      <bottom style="dashed">
        <color indexed="64"/>
      </bottom>
      <diagonal/>
    </border>
    <border>
      <left/>
      <right style="thin">
        <color indexed="64"/>
      </right>
      <top style="thin">
        <color indexed="64"/>
      </top>
      <bottom style="dashed">
        <color indexed="64"/>
      </bottom>
      <diagonal/>
    </border>
    <border>
      <left style="thin">
        <color indexed="64"/>
      </left>
      <right style="dashed">
        <color indexed="64"/>
      </right>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hair">
        <color indexed="64"/>
      </left>
      <right style="medium">
        <color indexed="64"/>
      </right>
      <top style="hair">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diagonal/>
    </border>
    <border>
      <left/>
      <right style="thin">
        <color indexed="64"/>
      </right>
      <top/>
      <bottom/>
      <diagonal/>
    </border>
    <border>
      <left style="thin">
        <color indexed="64"/>
      </left>
      <right style="medium">
        <color indexed="64"/>
      </right>
      <top/>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style="medium">
        <color indexed="64"/>
      </bottom>
      <diagonal/>
    </border>
    <border>
      <left style="hair">
        <color indexed="64"/>
      </left>
      <right/>
      <top/>
      <bottom style="hair">
        <color indexed="64"/>
      </bottom>
      <diagonal/>
    </border>
    <border>
      <left/>
      <right style="hair">
        <color indexed="64"/>
      </right>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hair">
        <color indexed="64"/>
      </right>
      <top style="medium">
        <color indexed="64"/>
      </top>
      <bottom/>
      <diagonal/>
    </border>
    <border>
      <left style="hair">
        <color indexed="64"/>
      </left>
      <right style="hair">
        <color indexed="64"/>
      </right>
      <top style="medium">
        <color indexed="64"/>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double">
        <color indexed="64"/>
      </bottom>
      <diagonal/>
    </border>
    <border>
      <left style="hair">
        <color indexed="64"/>
      </left>
      <right style="thin">
        <color indexed="64"/>
      </right>
      <top style="hair">
        <color indexed="64"/>
      </top>
      <bottom style="medium">
        <color indexed="64"/>
      </bottom>
      <diagonal/>
    </border>
    <border>
      <left style="medium">
        <color indexed="64"/>
      </left>
      <right/>
      <top style="hair">
        <color indexed="64"/>
      </top>
      <bottom style="hair">
        <color indexed="64"/>
      </bottom>
      <diagonal/>
    </border>
    <border>
      <left style="hair">
        <color indexed="64"/>
      </left>
      <right style="hair">
        <color indexed="64"/>
      </right>
      <top style="hair">
        <color indexed="64"/>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right style="hair">
        <color indexed="64"/>
      </right>
      <top style="thin">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hair">
        <color indexed="64"/>
      </left>
      <right style="thin">
        <color indexed="64"/>
      </right>
      <top style="double">
        <color indexed="64"/>
      </top>
      <bottom style="hair">
        <color indexed="64"/>
      </bottom>
      <diagonal/>
    </border>
    <border>
      <left/>
      <right/>
      <top/>
      <bottom style="hair">
        <color indexed="64"/>
      </bottom>
      <diagonal/>
    </border>
    <border>
      <left style="hair">
        <color indexed="64"/>
      </left>
      <right style="medium">
        <color indexed="64"/>
      </right>
      <top/>
      <bottom style="hair">
        <color indexed="64"/>
      </bottom>
      <diagonal/>
    </border>
    <border>
      <left/>
      <right style="medium">
        <color indexed="64"/>
      </right>
      <top style="medium">
        <color indexed="64"/>
      </top>
      <bottom style="medium">
        <color indexed="64"/>
      </bottom>
      <diagonal/>
    </border>
    <border>
      <left/>
      <right style="hair">
        <color indexed="64"/>
      </right>
      <top/>
      <bottom style="thin">
        <color indexed="64"/>
      </bottom>
      <diagonal/>
    </border>
    <border>
      <left style="thin">
        <color indexed="64"/>
      </left>
      <right/>
      <top style="medium">
        <color indexed="64"/>
      </top>
      <bottom style="medium">
        <color indexed="64"/>
      </bottom>
      <diagonal/>
    </border>
    <border>
      <left/>
      <right/>
      <top style="hair">
        <color indexed="64"/>
      </top>
      <bottom style="medium">
        <color indexed="64"/>
      </bottom>
      <diagonal/>
    </border>
    <border>
      <left/>
      <right/>
      <top style="hair">
        <color indexed="64"/>
      </top>
      <bottom/>
      <diagonal/>
    </border>
    <border>
      <left style="thin">
        <color indexed="64"/>
      </left>
      <right/>
      <top style="hair">
        <color indexed="64"/>
      </top>
      <bottom style="hair">
        <color indexed="64"/>
      </bottom>
      <diagonal/>
    </border>
    <border>
      <left/>
      <right style="hair">
        <color indexed="64"/>
      </right>
      <top style="thin">
        <color indexed="64"/>
      </top>
      <bottom style="double">
        <color indexed="64"/>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top/>
      <bottom style="thick">
        <color indexed="64"/>
      </bottom>
      <diagonal/>
    </border>
    <border>
      <left/>
      <right style="thin">
        <color indexed="64"/>
      </right>
      <top/>
      <bottom style="thick">
        <color indexed="64"/>
      </bottom>
      <diagonal/>
    </border>
    <border>
      <left/>
      <right style="thick">
        <color indexed="64"/>
      </right>
      <top style="hair">
        <color indexed="64"/>
      </top>
      <bottom style="hair">
        <color indexed="64"/>
      </bottom>
      <diagonal/>
    </border>
    <border>
      <left/>
      <right/>
      <top style="thick">
        <color indexed="64"/>
      </top>
      <bottom style="thick">
        <color indexed="64"/>
      </bottom>
      <diagonal/>
    </border>
    <border>
      <left/>
      <right/>
      <top/>
      <bottom style="thick">
        <color indexed="64"/>
      </bottom>
      <diagonal/>
    </border>
    <border>
      <left/>
      <right style="thin">
        <color indexed="64"/>
      </right>
      <top style="thin">
        <color indexed="64"/>
      </top>
      <bottom style="double">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medium">
        <color indexed="64"/>
      </bottom>
      <diagonal/>
    </border>
    <border>
      <left style="hair">
        <color indexed="64"/>
      </left>
      <right/>
      <top style="hair">
        <color indexed="64"/>
      </top>
      <bottom/>
      <diagonal/>
    </border>
    <border>
      <left style="medium">
        <color indexed="64"/>
      </left>
      <right style="medium">
        <color indexed="64"/>
      </right>
      <top style="medium">
        <color indexed="64"/>
      </top>
      <bottom style="medium">
        <color indexed="64"/>
      </bottom>
      <diagonal/>
    </border>
    <border>
      <left style="dotted">
        <color indexed="64"/>
      </left>
      <right/>
      <top style="thin">
        <color indexed="64"/>
      </top>
      <bottom/>
      <diagonal/>
    </border>
    <border>
      <left style="thin">
        <color indexed="64"/>
      </left>
      <right/>
      <top style="dashed">
        <color indexed="64"/>
      </top>
      <bottom/>
      <diagonal/>
    </border>
    <border>
      <left/>
      <right/>
      <top style="dashed">
        <color indexed="64"/>
      </top>
      <bottom/>
      <diagonal/>
    </border>
    <border>
      <left style="dotted">
        <color indexed="64"/>
      </left>
      <right/>
      <top style="dashed">
        <color indexed="64"/>
      </top>
      <bottom/>
      <diagonal/>
    </border>
    <border>
      <left/>
      <right style="dotted">
        <color indexed="64"/>
      </right>
      <top style="dashed">
        <color indexed="64"/>
      </top>
      <bottom/>
      <diagonal/>
    </border>
    <border>
      <left/>
      <right style="thin">
        <color indexed="64"/>
      </right>
      <top style="dashed">
        <color indexed="64"/>
      </top>
      <bottom/>
      <diagonal/>
    </border>
    <border>
      <left/>
      <right/>
      <top style="dotted">
        <color indexed="64"/>
      </top>
      <bottom/>
      <diagonal/>
    </border>
    <border>
      <left/>
      <right style="dotted">
        <color indexed="64"/>
      </right>
      <top style="dotted">
        <color indexed="64"/>
      </top>
      <bottom/>
      <diagonal/>
    </border>
    <border>
      <left/>
      <right style="dotted">
        <color indexed="64"/>
      </right>
      <top/>
      <bottom/>
      <diagonal/>
    </border>
    <border>
      <left style="dotted">
        <color indexed="64"/>
      </left>
      <right/>
      <top style="dotted">
        <color indexed="64"/>
      </top>
      <bottom/>
      <diagonal/>
    </border>
    <border>
      <left style="dotted">
        <color indexed="64"/>
      </left>
      <right/>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right style="thin">
        <color indexed="64"/>
      </right>
      <top style="hair">
        <color indexed="64"/>
      </top>
      <bottom style="medium">
        <color indexed="64"/>
      </bottom>
      <diagonal/>
    </border>
    <border>
      <left/>
      <right/>
      <top style="double">
        <color indexed="64"/>
      </top>
      <bottom/>
      <diagonal/>
    </border>
    <border>
      <left/>
      <right style="thin">
        <color indexed="64"/>
      </right>
      <top style="double">
        <color indexed="64"/>
      </top>
      <bottom/>
      <diagonal/>
    </border>
    <border>
      <left style="medium">
        <color indexed="64"/>
      </left>
      <right/>
      <top style="dotted">
        <color indexed="64"/>
      </top>
      <bottom style="medium">
        <color indexed="64"/>
      </bottom>
      <diagonal/>
    </border>
    <border>
      <left style="thin">
        <color indexed="64"/>
      </left>
      <right style="thin">
        <color indexed="64"/>
      </right>
      <top/>
      <bottom style="double">
        <color indexed="64"/>
      </bottom>
      <diagonal/>
    </border>
    <border>
      <left style="medium">
        <color indexed="64"/>
      </left>
      <right style="medium">
        <color indexed="64"/>
      </right>
      <top style="medium">
        <color indexed="64"/>
      </top>
      <bottom/>
      <diagonal/>
    </border>
    <border>
      <left/>
      <right/>
      <top/>
      <bottom style="double">
        <color indexed="64"/>
      </bottom>
      <diagonal/>
    </border>
    <border>
      <left/>
      <right style="thin">
        <color indexed="64"/>
      </right>
      <top/>
      <bottom style="hair">
        <color indexed="64"/>
      </bottom>
      <diagonal/>
    </border>
    <border>
      <left/>
      <right/>
      <top style="hair">
        <color indexed="64"/>
      </top>
      <bottom style="thin">
        <color indexed="64"/>
      </bottom>
      <diagonal/>
    </border>
    <border>
      <left/>
      <right style="medium">
        <color indexed="64"/>
      </right>
      <top style="hair">
        <color indexed="64"/>
      </top>
      <bottom style="medium">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hair">
        <color indexed="64"/>
      </top>
      <bottom style="hair">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style="thin">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double">
        <color indexed="64"/>
      </top>
      <bottom/>
      <diagonal/>
    </border>
    <border>
      <left style="thin">
        <color indexed="64"/>
      </left>
      <right/>
      <top style="double">
        <color indexed="64"/>
      </top>
      <bottom/>
      <diagonal/>
    </border>
    <border>
      <left/>
      <right style="medium">
        <color indexed="64"/>
      </right>
      <top style="double">
        <color indexed="64"/>
      </top>
      <bottom/>
      <diagonal/>
    </border>
    <border>
      <left style="medium">
        <color indexed="64"/>
      </left>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top style="double">
        <color indexed="64"/>
      </top>
      <bottom style="hair">
        <color indexed="64"/>
      </bottom>
      <diagonal/>
    </border>
    <border>
      <left/>
      <right style="medium">
        <color indexed="64"/>
      </right>
      <top style="double">
        <color indexed="64"/>
      </top>
      <bottom style="hair">
        <color indexed="64"/>
      </bottom>
      <diagonal/>
    </border>
    <border>
      <left style="thin">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right/>
      <top style="thin">
        <color indexed="64"/>
      </top>
      <bottom style="hair">
        <color indexed="64"/>
      </bottom>
      <diagonal/>
    </border>
    <border>
      <left/>
      <right/>
      <top style="medium">
        <color indexed="64"/>
      </top>
      <bottom style="medium">
        <color indexed="64"/>
      </bottom>
      <diagonal/>
    </border>
    <border>
      <left style="medium">
        <color indexed="64"/>
      </left>
      <right/>
      <top style="hair">
        <color indexed="64"/>
      </top>
      <bottom/>
      <diagonal/>
    </border>
    <border>
      <left/>
      <right style="medium">
        <color indexed="64"/>
      </right>
      <top style="hair">
        <color indexed="64"/>
      </top>
      <bottom/>
      <diagonal/>
    </border>
    <border>
      <left style="medium">
        <color indexed="64"/>
      </left>
      <right/>
      <top style="medium">
        <color indexed="64"/>
      </top>
      <bottom style="hair">
        <color indexed="64"/>
      </bottom>
      <diagonal/>
    </border>
    <border>
      <left/>
      <right/>
      <top style="dotted">
        <color indexed="64"/>
      </top>
      <bottom style="medium">
        <color indexed="64"/>
      </bottom>
      <diagonal/>
    </border>
    <border>
      <left/>
      <right style="medium">
        <color indexed="64"/>
      </right>
      <top style="dotted">
        <color indexed="64"/>
      </top>
      <bottom style="medium">
        <color indexed="64"/>
      </bottom>
      <diagonal/>
    </border>
    <border>
      <left style="thin">
        <color indexed="64"/>
      </left>
      <right style="thin">
        <color indexed="64"/>
      </right>
      <top style="double">
        <color indexed="64"/>
      </top>
      <bottom/>
      <diagonal/>
    </border>
    <border>
      <left/>
      <right style="medium">
        <color indexed="64"/>
      </right>
      <top style="thin">
        <color indexed="64"/>
      </top>
      <bottom style="hair">
        <color indexed="64"/>
      </bottom>
      <diagonal/>
    </border>
    <border>
      <left/>
      <right style="thick">
        <color indexed="64"/>
      </right>
      <top/>
      <bottom/>
      <diagonal/>
    </border>
    <border>
      <left/>
      <right style="thick">
        <color indexed="64"/>
      </right>
      <top/>
      <bottom style="thick">
        <color indexed="64"/>
      </bottom>
      <diagonal/>
    </border>
    <border>
      <left style="thick">
        <color indexed="64"/>
      </left>
      <right/>
      <top/>
      <bottom/>
      <diagonal/>
    </border>
    <border>
      <left style="thick">
        <color indexed="64"/>
      </left>
      <right/>
      <top/>
      <bottom style="thick">
        <color indexed="64"/>
      </bottom>
      <diagonal/>
    </border>
    <border>
      <left style="hair">
        <color indexed="64"/>
      </left>
      <right/>
      <top style="thin">
        <color indexed="64"/>
      </top>
      <bottom style="double">
        <color indexed="64"/>
      </bottom>
      <diagonal/>
    </border>
    <border>
      <left/>
      <right style="thick">
        <color indexed="64"/>
      </right>
      <top style="thick">
        <color indexed="64"/>
      </top>
      <bottom/>
      <diagonal/>
    </border>
    <border>
      <left style="thin">
        <color indexed="64"/>
      </left>
      <right/>
      <top/>
      <bottom style="hair">
        <color indexed="64"/>
      </bottom>
      <diagonal/>
    </border>
    <border>
      <left style="thick">
        <color indexed="64"/>
      </left>
      <right/>
      <top style="thick">
        <color indexed="64"/>
      </top>
      <bottom/>
      <diagonal/>
    </border>
    <border>
      <left style="hair">
        <color indexed="64"/>
      </left>
      <right/>
      <top style="double">
        <color indexed="64"/>
      </top>
      <bottom style="hair">
        <color indexed="64"/>
      </bottom>
      <diagonal/>
    </border>
    <border>
      <left/>
      <right style="hair">
        <color indexed="64"/>
      </right>
      <top style="double">
        <color indexed="64"/>
      </top>
      <bottom style="hair">
        <color indexed="64"/>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hair">
        <color indexed="64"/>
      </left>
      <right/>
      <top style="medium">
        <color indexed="64"/>
      </top>
      <bottom/>
      <diagonal/>
    </border>
    <border>
      <left style="hair">
        <color indexed="64"/>
      </left>
      <right/>
      <top style="thin">
        <color indexed="64"/>
      </top>
      <bottom style="thin">
        <color indexed="64"/>
      </bottom>
      <diagonal/>
    </border>
    <border>
      <left/>
      <right style="medium">
        <color indexed="64"/>
      </right>
      <top/>
      <bottom style="hair">
        <color indexed="64"/>
      </bottom>
      <diagonal/>
    </border>
    <border>
      <left style="hair">
        <color indexed="64"/>
      </left>
      <right/>
      <top style="thin">
        <color indexed="64"/>
      </top>
      <bottom style="medium">
        <color indexed="64"/>
      </bottom>
      <diagonal/>
    </border>
    <border>
      <left style="hair">
        <color indexed="64"/>
      </left>
      <right/>
      <top/>
      <bottom style="medium">
        <color indexed="64"/>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hair">
        <color indexed="64"/>
      </left>
      <right/>
      <top style="thick">
        <color indexed="64"/>
      </top>
      <bottom style="thick">
        <color indexed="64"/>
      </bottom>
      <diagonal/>
    </border>
    <border>
      <left/>
      <right style="medium">
        <color indexed="64"/>
      </right>
      <top style="thick">
        <color indexed="64"/>
      </top>
      <bottom style="thick">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dotted">
        <color indexed="64"/>
      </left>
      <right/>
      <top/>
      <bottom style="dotted">
        <color indexed="64"/>
      </bottom>
      <diagonal/>
    </border>
    <border>
      <left/>
      <right/>
      <top/>
      <bottom style="dotted">
        <color indexed="64"/>
      </bottom>
      <diagonal/>
    </border>
    <border>
      <left/>
      <right style="dotted">
        <color indexed="64"/>
      </right>
      <top/>
      <bottom style="dotted">
        <color indexed="64"/>
      </bottom>
      <diagonal/>
    </border>
    <border>
      <left/>
      <right style="dotted">
        <color indexed="64"/>
      </right>
      <top style="thin">
        <color indexed="64"/>
      </top>
      <bottom style="dashed">
        <color indexed="64"/>
      </bottom>
      <diagonal/>
    </border>
    <border>
      <left/>
      <right style="dotted">
        <color indexed="64"/>
      </right>
      <top/>
      <bottom style="thin">
        <color indexed="64"/>
      </bottom>
      <diagonal/>
    </border>
    <border>
      <left style="dotted">
        <color indexed="64"/>
      </left>
      <right/>
      <top/>
      <bottom style="thin">
        <color indexed="64"/>
      </bottom>
      <diagonal/>
    </border>
    <border>
      <left style="medium">
        <color indexed="64"/>
      </left>
      <right style="thin">
        <color indexed="64"/>
      </right>
      <top style="double">
        <color indexed="64"/>
      </top>
      <bottom/>
      <diagonal/>
    </border>
    <border>
      <left style="dashed">
        <color indexed="64"/>
      </left>
      <right/>
      <top/>
      <bottom style="thin">
        <color indexed="64"/>
      </bottom>
      <diagonal/>
    </border>
    <border>
      <left/>
      <right style="dashed">
        <color indexed="64"/>
      </right>
      <top/>
      <bottom style="thin">
        <color indexed="64"/>
      </bottom>
      <diagonal/>
    </border>
    <border>
      <left style="dashed">
        <color indexed="64"/>
      </left>
      <right/>
      <top style="thin">
        <color indexed="64"/>
      </top>
      <bottom/>
      <diagonal/>
    </border>
    <border>
      <left/>
      <right style="dashed">
        <color indexed="64"/>
      </right>
      <top style="thin">
        <color indexed="64"/>
      </top>
      <bottom/>
      <diagonal/>
    </border>
    <border>
      <left style="dashed">
        <color indexed="64"/>
      </left>
      <right/>
      <top/>
      <bottom/>
      <diagonal/>
    </border>
    <border>
      <left/>
      <right style="dashed">
        <color indexed="64"/>
      </right>
      <top/>
      <bottom/>
      <diagonal/>
    </border>
    <border>
      <left style="dashed">
        <color indexed="64"/>
      </left>
      <right/>
      <top style="thin">
        <color indexed="64"/>
      </top>
      <bottom style="thin">
        <color indexed="64"/>
      </bottom>
      <diagonal/>
    </border>
    <border>
      <left/>
      <right style="dashed">
        <color indexed="64"/>
      </right>
      <top style="thin">
        <color indexed="64"/>
      </top>
      <bottom style="thin">
        <color indexed="64"/>
      </bottom>
      <diagonal/>
    </border>
    <border>
      <left style="thin">
        <color indexed="64"/>
      </left>
      <right style="dashed">
        <color indexed="64"/>
      </right>
      <top style="thin">
        <color indexed="64"/>
      </top>
      <bottom/>
      <diagonal/>
    </border>
    <border>
      <left style="thin">
        <color indexed="64"/>
      </left>
      <right style="dashed">
        <color indexed="64"/>
      </right>
      <top/>
      <bottom/>
      <diagonal/>
    </border>
    <border>
      <left style="medium">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right style="medium">
        <color indexed="64"/>
      </right>
      <top style="double">
        <color indexed="64"/>
      </top>
      <bottom style="medium">
        <color indexed="64"/>
      </bottom>
      <diagonal/>
    </border>
    <border>
      <left/>
      <right style="mediumDashed">
        <color indexed="64"/>
      </right>
      <top style="double">
        <color indexed="64"/>
      </top>
      <bottom style="medium">
        <color indexed="64"/>
      </bottom>
      <diagonal/>
    </border>
    <border>
      <left style="mediumDashed">
        <color indexed="64"/>
      </left>
      <right/>
      <top style="double">
        <color indexed="64"/>
      </top>
      <bottom style="medium">
        <color indexed="64"/>
      </bottom>
      <diagonal/>
    </border>
    <border>
      <left/>
      <right style="thick">
        <color indexed="64"/>
      </right>
      <top style="double">
        <color indexed="64"/>
      </top>
      <bottom style="medium">
        <color indexed="64"/>
      </bottom>
      <diagonal/>
    </border>
    <border>
      <left style="medium">
        <color indexed="64"/>
      </left>
      <right style="mediumDashed">
        <color indexed="64"/>
      </right>
      <top style="medium">
        <color indexed="64"/>
      </top>
      <bottom/>
      <diagonal/>
    </border>
    <border>
      <left style="mediumDashed">
        <color indexed="64"/>
      </left>
      <right/>
      <top style="medium">
        <color indexed="64"/>
      </top>
      <bottom/>
      <diagonal/>
    </border>
    <border>
      <left/>
      <right style="mediumDashed">
        <color indexed="64"/>
      </right>
      <top style="medium">
        <color indexed="64"/>
      </top>
      <bottom/>
      <diagonal/>
    </border>
    <border>
      <left/>
      <right style="thick">
        <color indexed="64"/>
      </right>
      <top style="medium">
        <color indexed="64"/>
      </top>
      <bottom/>
      <diagonal/>
    </border>
    <border>
      <left style="medium">
        <color indexed="64"/>
      </left>
      <right style="mediumDashed">
        <color indexed="64"/>
      </right>
      <top/>
      <bottom/>
      <diagonal/>
    </border>
    <border>
      <left style="mediumDashed">
        <color indexed="64"/>
      </left>
      <right/>
      <top/>
      <bottom/>
      <diagonal/>
    </border>
    <border>
      <left/>
      <right style="mediumDashed">
        <color indexed="64"/>
      </right>
      <top/>
      <bottom/>
      <diagonal/>
    </border>
    <border>
      <left style="medium">
        <color indexed="64"/>
      </left>
      <right style="mediumDashed">
        <color indexed="64"/>
      </right>
      <top/>
      <bottom style="medium">
        <color indexed="64"/>
      </bottom>
      <diagonal/>
    </border>
    <border>
      <left style="mediumDashed">
        <color indexed="64"/>
      </left>
      <right/>
      <top/>
      <bottom style="medium">
        <color indexed="64"/>
      </bottom>
      <diagonal/>
    </border>
    <border>
      <left/>
      <right style="mediumDashed">
        <color indexed="64"/>
      </right>
      <top/>
      <bottom style="medium">
        <color indexed="64"/>
      </bottom>
      <diagonal/>
    </border>
    <border>
      <left/>
      <right style="thick">
        <color indexed="64"/>
      </right>
      <top/>
      <bottom style="medium">
        <color indexed="64"/>
      </bottom>
      <diagonal/>
    </border>
    <border>
      <left style="mediumDashed">
        <color indexed="64"/>
      </left>
      <right/>
      <top style="medium">
        <color indexed="64"/>
      </top>
      <bottom style="medium">
        <color indexed="64"/>
      </bottom>
      <diagonal/>
    </border>
    <border>
      <left/>
      <right style="mediumDashed">
        <color indexed="64"/>
      </right>
      <top style="medium">
        <color indexed="64"/>
      </top>
      <bottom style="medium">
        <color indexed="64"/>
      </bottom>
      <diagonal/>
    </border>
    <border>
      <left/>
      <right style="thick">
        <color indexed="64"/>
      </right>
      <top style="medium">
        <color indexed="64"/>
      </top>
      <bottom style="medium">
        <color indexed="64"/>
      </bottom>
      <diagonal/>
    </border>
    <border>
      <left style="medium">
        <color indexed="64"/>
      </left>
      <right/>
      <top/>
      <bottom style="double">
        <color indexed="64"/>
      </bottom>
      <diagonal/>
    </border>
    <border>
      <left/>
      <right style="medium">
        <color indexed="64"/>
      </right>
      <top/>
      <bottom style="double">
        <color indexed="64"/>
      </bottom>
      <diagonal/>
    </border>
    <border>
      <left/>
      <right style="thick">
        <color indexed="64"/>
      </right>
      <top/>
      <bottom style="double">
        <color indexed="64"/>
      </bottom>
      <diagonal/>
    </border>
  </borders>
  <cellStyleXfs count="97">
    <xf numFmtId="0" fontId="0" fillId="0" borderId="0">
      <alignment vertical="center"/>
    </xf>
    <xf numFmtId="0" fontId="37" fillId="2" borderId="0" applyNumberFormat="0" applyBorder="0" applyAlignment="0" applyProtection="0">
      <alignment vertical="center"/>
    </xf>
    <xf numFmtId="0" fontId="1" fillId="2" borderId="0" applyNumberFormat="0" applyBorder="0" applyAlignment="0" applyProtection="0">
      <alignment vertical="center"/>
    </xf>
    <xf numFmtId="0" fontId="37" fillId="3" borderId="0" applyNumberFormat="0" applyBorder="0" applyAlignment="0" applyProtection="0">
      <alignment vertical="center"/>
    </xf>
    <xf numFmtId="0" fontId="1" fillId="3" borderId="0" applyNumberFormat="0" applyBorder="0" applyAlignment="0" applyProtection="0">
      <alignment vertical="center"/>
    </xf>
    <xf numFmtId="0" fontId="37" fillId="4" borderId="0" applyNumberFormat="0" applyBorder="0" applyAlignment="0" applyProtection="0">
      <alignment vertical="center"/>
    </xf>
    <xf numFmtId="0" fontId="1" fillId="4" borderId="0" applyNumberFormat="0" applyBorder="0" applyAlignment="0" applyProtection="0">
      <alignment vertical="center"/>
    </xf>
    <xf numFmtId="0" fontId="37" fillId="5" borderId="0" applyNumberFormat="0" applyBorder="0" applyAlignment="0" applyProtection="0">
      <alignment vertical="center"/>
    </xf>
    <xf numFmtId="0" fontId="1" fillId="5" borderId="0" applyNumberFormat="0" applyBorder="0" applyAlignment="0" applyProtection="0">
      <alignment vertical="center"/>
    </xf>
    <xf numFmtId="0" fontId="37" fillId="6" borderId="0" applyNumberFormat="0" applyBorder="0" applyAlignment="0" applyProtection="0">
      <alignment vertical="center"/>
    </xf>
    <xf numFmtId="0" fontId="1" fillId="6" borderId="0" applyNumberFormat="0" applyBorder="0" applyAlignment="0" applyProtection="0">
      <alignment vertical="center"/>
    </xf>
    <xf numFmtId="0" fontId="37" fillId="7" borderId="0" applyNumberFormat="0" applyBorder="0" applyAlignment="0" applyProtection="0">
      <alignment vertical="center"/>
    </xf>
    <xf numFmtId="0" fontId="1" fillId="7" borderId="0" applyNumberFormat="0" applyBorder="0" applyAlignment="0" applyProtection="0">
      <alignment vertical="center"/>
    </xf>
    <xf numFmtId="0" fontId="37" fillId="8" borderId="0" applyNumberFormat="0" applyBorder="0" applyAlignment="0" applyProtection="0">
      <alignment vertical="center"/>
    </xf>
    <xf numFmtId="0" fontId="1" fillId="8" borderId="0" applyNumberFormat="0" applyBorder="0" applyAlignment="0" applyProtection="0">
      <alignment vertical="center"/>
    </xf>
    <xf numFmtId="0" fontId="37" fillId="9" borderId="0" applyNumberFormat="0" applyBorder="0" applyAlignment="0" applyProtection="0">
      <alignment vertical="center"/>
    </xf>
    <xf numFmtId="0" fontId="1" fillId="9" borderId="0" applyNumberFormat="0" applyBorder="0" applyAlignment="0" applyProtection="0">
      <alignment vertical="center"/>
    </xf>
    <xf numFmtId="0" fontId="37" fillId="10" borderId="0" applyNumberFormat="0" applyBorder="0" applyAlignment="0" applyProtection="0">
      <alignment vertical="center"/>
    </xf>
    <xf numFmtId="0" fontId="1" fillId="10" borderId="0" applyNumberFormat="0" applyBorder="0" applyAlignment="0" applyProtection="0">
      <alignment vertical="center"/>
    </xf>
    <xf numFmtId="0" fontId="37" fillId="5" borderId="0" applyNumberFormat="0" applyBorder="0" applyAlignment="0" applyProtection="0">
      <alignment vertical="center"/>
    </xf>
    <xf numFmtId="0" fontId="1" fillId="5" borderId="0" applyNumberFormat="0" applyBorder="0" applyAlignment="0" applyProtection="0">
      <alignment vertical="center"/>
    </xf>
    <xf numFmtId="0" fontId="37" fillId="8" borderId="0" applyNumberFormat="0" applyBorder="0" applyAlignment="0" applyProtection="0">
      <alignment vertical="center"/>
    </xf>
    <xf numFmtId="0" fontId="1" fillId="8" borderId="0" applyNumberFormat="0" applyBorder="0" applyAlignment="0" applyProtection="0">
      <alignment vertical="center"/>
    </xf>
    <xf numFmtId="0" fontId="37" fillId="11" borderId="0" applyNumberFormat="0" applyBorder="0" applyAlignment="0" applyProtection="0">
      <alignment vertical="center"/>
    </xf>
    <xf numFmtId="0" fontId="1" fillId="11" borderId="0" applyNumberFormat="0" applyBorder="0" applyAlignment="0" applyProtection="0">
      <alignment vertical="center"/>
    </xf>
    <xf numFmtId="0" fontId="52" fillId="12" borderId="0" applyNumberFormat="0" applyBorder="0" applyAlignment="0" applyProtection="0">
      <alignment vertical="center"/>
    </xf>
    <xf numFmtId="0" fontId="52" fillId="12" borderId="0" applyNumberFormat="0" applyBorder="0" applyAlignment="0" applyProtection="0">
      <alignment vertical="center"/>
    </xf>
    <xf numFmtId="0" fontId="52" fillId="9" borderId="0" applyNumberFormat="0" applyBorder="0" applyAlignment="0" applyProtection="0">
      <alignment vertical="center"/>
    </xf>
    <xf numFmtId="0" fontId="52" fillId="9" borderId="0" applyNumberFormat="0" applyBorder="0" applyAlignment="0" applyProtection="0">
      <alignment vertical="center"/>
    </xf>
    <xf numFmtId="0" fontId="52" fillId="10" borderId="0" applyNumberFormat="0" applyBorder="0" applyAlignment="0" applyProtection="0">
      <alignment vertical="center"/>
    </xf>
    <xf numFmtId="0" fontId="52" fillId="10" borderId="0" applyNumberFormat="0" applyBorder="0" applyAlignment="0" applyProtection="0">
      <alignment vertical="center"/>
    </xf>
    <xf numFmtId="0" fontId="52" fillId="13" borderId="0" applyNumberFormat="0" applyBorder="0" applyAlignment="0" applyProtection="0">
      <alignment vertical="center"/>
    </xf>
    <xf numFmtId="0" fontId="52" fillId="13" borderId="0" applyNumberFormat="0" applyBorder="0" applyAlignment="0" applyProtection="0">
      <alignment vertical="center"/>
    </xf>
    <xf numFmtId="0" fontId="52" fillId="14" borderId="0" applyNumberFormat="0" applyBorder="0" applyAlignment="0" applyProtection="0">
      <alignment vertical="center"/>
    </xf>
    <xf numFmtId="0" fontId="52" fillId="14" borderId="0" applyNumberFormat="0" applyBorder="0" applyAlignment="0" applyProtection="0">
      <alignment vertical="center"/>
    </xf>
    <xf numFmtId="0" fontId="52" fillId="15" borderId="0" applyNumberFormat="0" applyBorder="0" applyAlignment="0" applyProtection="0">
      <alignment vertical="center"/>
    </xf>
    <xf numFmtId="0" fontId="52" fillId="15" borderId="0" applyNumberFormat="0" applyBorder="0" applyAlignment="0" applyProtection="0">
      <alignment vertical="center"/>
    </xf>
    <xf numFmtId="4" fontId="81" fillId="16" borderId="0" applyNumberFormat="0" applyBorder="0" applyAlignment="0" applyProtection="0">
      <alignment horizontal="left"/>
    </xf>
    <xf numFmtId="0" fontId="52" fillId="17" borderId="0" applyNumberFormat="0" applyBorder="0" applyAlignment="0" applyProtection="0">
      <alignment vertical="center"/>
    </xf>
    <xf numFmtId="0" fontId="52" fillId="17" borderId="0" applyNumberFormat="0" applyBorder="0" applyAlignment="0" applyProtection="0">
      <alignment vertical="center"/>
    </xf>
    <xf numFmtId="0" fontId="52" fillId="18" borderId="0" applyNumberFormat="0" applyBorder="0" applyAlignment="0" applyProtection="0">
      <alignment vertical="center"/>
    </xf>
    <xf numFmtId="0" fontId="52" fillId="18" borderId="0" applyNumberFormat="0" applyBorder="0" applyAlignment="0" applyProtection="0">
      <alignment vertical="center"/>
    </xf>
    <xf numFmtId="0" fontId="52" fillId="19" borderId="0" applyNumberFormat="0" applyBorder="0" applyAlignment="0" applyProtection="0">
      <alignment vertical="center"/>
    </xf>
    <xf numFmtId="0" fontId="52" fillId="19" borderId="0" applyNumberFormat="0" applyBorder="0" applyAlignment="0" applyProtection="0">
      <alignment vertical="center"/>
    </xf>
    <xf numFmtId="0" fontId="52" fillId="13" borderId="0" applyNumberFormat="0" applyBorder="0" applyAlignment="0" applyProtection="0">
      <alignment vertical="center"/>
    </xf>
    <xf numFmtId="0" fontId="52" fillId="13" borderId="0" applyNumberFormat="0" applyBorder="0" applyAlignment="0" applyProtection="0">
      <alignment vertical="center"/>
    </xf>
    <xf numFmtId="0" fontId="52" fillId="14" borderId="0" applyNumberFormat="0" applyBorder="0" applyAlignment="0" applyProtection="0">
      <alignment vertical="center"/>
    </xf>
    <xf numFmtId="0" fontId="52" fillId="14" borderId="0" applyNumberFormat="0" applyBorder="0" applyAlignment="0" applyProtection="0">
      <alignment vertical="center"/>
    </xf>
    <xf numFmtId="0" fontId="52" fillId="20" borderId="0" applyNumberFormat="0" applyBorder="0" applyAlignment="0" applyProtection="0">
      <alignment vertical="center"/>
    </xf>
    <xf numFmtId="0" fontId="52" fillId="20" borderId="0" applyNumberFormat="0" applyBorder="0" applyAlignment="0" applyProtection="0">
      <alignment vertical="center"/>
    </xf>
    <xf numFmtId="0" fontId="53"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4" fillId="21" borderId="1" applyNumberFormat="0" applyAlignment="0" applyProtection="0">
      <alignment vertical="center"/>
    </xf>
    <xf numFmtId="0" fontId="54" fillId="21" borderId="1" applyNumberFormat="0" applyAlignment="0" applyProtection="0">
      <alignment vertical="center"/>
    </xf>
    <xf numFmtId="0" fontId="55" fillId="22" borderId="0" applyNumberFormat="0" applyBorder="0" applyAlignment="0" applyProtection="0">
      <alignment vertical="center"/>
    </xf>
    <xf numFmtId="0" fontId="55" fillId="22" borderId="0" applyNumberFormat="0" applyBorder="0" applyAlignment="0" applyProtection="0">
      <alignment vertical="center"/>
    </xf>
    <xf numFmtId="0" fontId="2" fillId="23" borderId="2" applyNumberFormat="0" applyFont="0" applyAlignment="0" applyProtection="0">
      <alignment vertical="center"/>
    </xf>
    <xf numFmtId="0" fontId="2" fillId="23" borderId="2" applyNumberFormat="0" applyFont="0" applyAlignment="0" applyProtection="0">
      <alignment vertical="center"/>
    </xf>
    <xf numFmtId="0" fontId="56" fillId="0" borderId="3" applyNumberFormat="0" applyFill="0" applyAlignment="0" applyProtection="0">
      <alignment vertical="center"/>
    </xf>
    <xf numFmtId="0" fontId="56" fillId="0" borderId="3" applyNumberFormat="0" applyFill="0" applyAlignment="0" applyProtection="0">
      <alignment vertical="center"/>
    </xf>
    <xf numFmtId="0" fontId="57" fillId="3" borderId="0" applyNumberFormat="0" applyBorder="0" applyAlignment="0" applyProtection="0">
      <alignment vertical="center"/>
    </xf>
    <xf numFmtId="0" fontId="57" fillId="3" borderId="0" applyNumberFormat="0" applyBorder="0" applyAlignment="0" applyProtection="0">
      <alignment vertical="center"/>
    </xf>
    <xf numFmtId="0" fontId="58" fillId="24" borderId="4" applyNumberFormat="0" applyAlignment="0" applyProtection="0">
      <alignment vertical="center"/>
    </xf>
    <xf numFmtId="0" fontId="58" fillId="24" borderId="4" applyNumberFormat="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38" fontId="2" fillId="0" borderId="0" applyFont="0" applyFill="0" applyBorder="0" applyAlignment="0" applyProtection="0">
      <alignment vertical="center"/>
    </xf>
    <xf numFmtId="38" fontId="1" fillId="0" borderId="0" applyFont="0" applyFill="0" applyBorder="0" applyAlignment="0" applyProtection="0">
      <alignment vertical="center"/>
    </xf>
    <xf numFmtId="38" fontId="2" fillId="0" borderId="0" applyFont="0" applyFill="0" applyBorder="0" applyAlignment="0" applyProtection="0">
      <alignment vertical="center"/>
    </xf>
    <xf numFmtId="38" fontId="1" fillId="0" borderId="0" applyFont="0" applyFill="0" applyBorder="0" applyAlignment="0" applyProtection="0">
      <alignment vertical="center"/>
    </xf>
    <xf numFmtId="0" fontId="59" fillId="0" borderId="5" applyNumberFormat="0" applyFill="0" applyAlignment="0" applyProtection="0">
      <alignment vertical="center"/>
    </xf>
    <xf numFmtId="0" fontId="59" fillId="0" borderId="5" applyNumberFormat="0" applyFill="0" applyAlignment="0" applyProtection="0">
      <alignment vertical="center"/>
    </xf>
    <xf numFmtId="0" fontId="60" fillId="0" borderId="6" applyNumberFormat="0" applyFill="0" applyAlignment="0" applyProtection="0">
      <alignment vertical="center"/>
    </xf>
    <xf numFmtId="0" fontId="60" fillId="0" borderId="6" applyNumberFormat="0" applyFill="0" applyAlignment="0" applyProtection="0">
      <alignment vertical="center"/>
    </xf>
    <xf numFmtId="0" fontId="61" fillId="0" borderId="7" applyNumberFormat="0" applyFill="0" applyAlignment="0" applyProtection="0">
      <alignment vertical="center"/>
    </xf>
    <xf numFmtId="0" fontId="61" fillId="0" borderId="7" applyNumberFormat="0" applyFill="0" applyAlignment="0" applyProtection="0">
      <alignment vertical="center"/>
    </xf>
    <xf numFmtId="0" fontId="61"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38" fillId="0" borderId="8" applyNumberFormat="0" applyFill="0" applyAlignment="0" applyProtection="0">
      <alignment vertical="center"/>
    </xf>
    <xf numFmtId="0" fontId="38" fillId="0" borderId="8" applyNumberFormat="0" applyFill="0" applyAlignment="0" applyProtection="0">
      <alignment vertical="center"/>
    </xf>
    <xf numFmtId="0" fontId="62" fillId="24" borderId="9" applyNumberFormat="0" applyAlignment="0" applyProtection="0">
      <alignment vertical="center"/>
    </xf>
    <xf numFmtId="0" fontId="62" fillId="24" borderId="9" applyNumberFormat="0" applyAlignment="0" applyProtection="0">
      <alignment vertical="center"/>
    </xf>
    <xf numFmtId="0" fontId="63" fillId="0" borderId="0" applyNumberFormat="0" applyFill="0" applyBorder="0" applyAlignment="0" applyProtection="0">
      <alignment vertical="center"/>
    </xf>
    <xf numFmtId="0" fontId="63" fillId="0" borderId="0" applyNumberFormat="0" applyFill="0" applyBorder="0" applyAlignment="0" applyProtection="0">
      <alignment vertical="center"/>
    </xf>
    <xf numFmtId="6" fontId="2" fillId="0" borderId="0" applyFont="0" applyFill="0" applyBorder="0" applyAlignment="0" applyProtection="0"/>
    <xf numFmtId="0" fontId="64" fillId="7" borderId="4" applyNumberFormat="0" applyAlignment="0" applyProtection="0">
      <alignment vertical="center"/>
    </xf>
    <xf numFmtId="0" fontId="64" fillId="7" borderId="4" applyNumberFormat="0" applyAlignment="0" applyProtection="0">
      <alignment vertical="center"/>
    </xf>
    <xf numFmtId="0" fontId="2" fillId="0" borderId="0">
      <alignment vertical="center"/>
    </xf>
    <xf numFmtId="0" fontId="93" fillId="0" borderId="0">
      <alignment vertical="center"/>
    </xf>
    <xf numFmtId="0" fontId="93" fillId="0" borderId="0">
      <alignment vertical="center"/>
    </xf>
    <xf numFmtId="0" fontId="93" fillId="0" borderId="0">
      <alignment vertical="center"/>
    </xf>
    <xf numFmtId="0" fontId="93" fillId="0" borderId="0">
      <alignment vertical="center"/>
    </xf>
    <xf numFmtId="0" fontId="2" fillId="0" borderId="0"/>
    <xf numFmtId="0" fontId="2" fillId="0" borderId="0">
      <alignment vertical="center"/>
    </xf>
    <xf numFmtId="0" fontId="2" fillId="0" borderId="0"/>
    <xf numFmtId="0" fontId="65" fillId="4" borderId="0" applyNumberFormat="0" applyBorder="0" applyAlignment="0" applyProtection="0">
      <alignment vertical="center"/>
    </xf>
    <xf numFmtId="0" fontId="65" fillId="4" borderId="0" applyNumberFormat="0" applyBorder="0" applyAlignment="0" applyProtection="0">
      <alignment vertical="center"/>
    </xf>
  </cellStyleXfs>
  <cellXfs count="1335">
    <xf numFmtId="0" fontId="0" fillId="0" borderId="0" xfId="0">
      <alignment vertical="center"/>
    </xf>
    <xf numFmtId="0" fontId="4" fillId="0" borderId="0" xfId="0" applyFont="1" applyBorder="1" applyAlignment="1">
      <alignment vertical="center"/>
    </xf>
    <xf numFmtId="0" fontId="4" fillId="0" borderId="0" xfId="0" applyFont="1" applyBorder="1" applyAlignment="1">
      <alignment horizontal="right" vertical="center"/>
    </xf>
    <xf numFmtId="0" fontId="0" fillId="0" borderId="0" xfId="0" applyBorder="1">
      <alignment vertical="center"/>
    </xf>
    <xf numFmtId="180" fontId="9" fillId="25" borderId="0" xfId="94" applyNumberFormat="1" applyFont="1" applyFill="1" applyBorder="1" applyAlignment="1">
      <alignment horizontal="center" vertical="center"/>
    </xf>
    <xf numFmtId="49" fontId="2" fillId="0" borderId="0" xfId="0" applyNumberFormat="1" applyFont="1" applyFill="1" applyBorder="1" applyAlignment="1">
      <alignment horizontal="center" vertical="center"/>
    </xf>
    <xf numFmtId="38" fontId="2" fillId="0" borderId="0" xfId="66" applyFont="1" applyFill="1" applyBorder="1" applyAlignment="1">
      <alignment vertical="center"/>
    </xf>
    <xf numFmtId="49" fontId="2" fillId="0" borderId="0" xfId="94" applyNumberFormat="1" applyFont="1" applyFill="1" applyBorder="1" applyAlignment="1">
      <alignment horizontal="center" vertical="center"/>
    </xf>
    <xf numFmtId="49" fontId="2" fillId="26" borderId="0" xfId="94" applyNumberFormat="1" applyFont="1" applyFill="1" applyBorder="1" applyAlignment="1">
      <alignment horizontal="center" vertical="center"/>
    </xf>
    <xf numFmtId="0" fontId="11" fillId="0" borderId="0" xfId="0" applyFont="1" applyBorder="1" applyAlignment="1">
      <alignment vertical="center"/>
    </xf>
    <xf numFmtId="0" fontId="2" fillId="27" borderId="12" xfId="0" applyNumberFormat="1" applyFont="1" applyFill="1" applyBorder="1" applyAlignment="1" applyProtection="1">
      <alignment horizontal="left" vertical="center"/>
      <protection locked="0"/>
    </xf>
    <xf numFmtId="0" fontId="4" fillId="0" borderId="0" xfId="0" applyFont="1" applyBorder="1" applyAlignment="1">
      <alignment horizontal="center" vertical="center"/>
    </xf>
    <xf numFmtId="0" fontId="14" fillId="0" borderId="0" xfId="0" applyFont="1" applyBorder="1" applyAlignment="1">
      <alignment vertical="center"/>
    </xf>
    <xf numFmtId="0" fontId="5" fillId="0" borderId="21" xfId="0" applyFont="1" applyBorder="1">
      <alignment vertical="center"/>
    </xf>
    <xf numFmtId="0" fontId="11" fillId="0" borderId="22" xfId="0" applyFont="1" applyBorder="1" applyAlignment="1">
      <alignment horizontal="left" vertical="center"/>
    </xf>
    <xf numFmtId="0" fontId="11" fillId="0" borderId="23" xfId="0" applyFont="1" applyBorder="1" applyAlignment="1">
      <alignment horizontal="left" vertical="center"/>
    </xf>
    <xf numFmtId="0" fontId="11" fillId="0" borderId="24" xfId="0" applyFont="1" applyBorder="1" applyAlignment="1">
      <alignment horizontal="left" vertical="center"/>
    </xf>
    <xf numFmtId="0" fontId="2" fillId="0" borderId="0" xfId="0" applyFont="1" applyFill="1" applyBorder="1" applyAlignment="1">
      <alignment vertical="center" shrinkToFit="1"/>
    </xf>
    <xf numFmtId="0" fontId="11" fillId="0" borderId="23" xfId="0" applyFont="1" applyBorder="1" applyAlignment="1">
      <alignment horizontal="left" vertical="center" wrapText="1"/>
    </xf>
    <xf numFmtId="0" fontId="2" fillId="0" borderId="13" xfId="0" applyFont="1" applyFill="1" applyBorder="1" applyAlignment="1">
      <alignment horizontal="right" vertical="center" shrinkToFit="1"/>
    </xf>
    <xf numFmtId="0" fontId="2" fillId="0" borderId="25" xfId="0" applyFont="1" applyFill="1" applyBorder="1" applyAlignment="1">
      <alignment horizontal="right" vertical="center" shrinkToFit="1"/>
    </xf>
    <xf numFmtId="0" fontId="18" fillId="0" borderId="25" xfId="0" applyFont="1" applyFill="1" applyBorder="1" applyAlignment="1">
      <alignment horizontal="right" vertical="top" shrinkToFit="1"/>
    </xf>
    <xf numFmtId="0" fontId="11" fillId="0" borderId="26" xfId="0" applyFont="1" applyBorder="1" applyAlignment="1">
      <alignment vertical="center"/>
    </xf>
    <xf numFmtId="0" fontId="16" fillId="0" borderId="0" xfId="0" applyFont="1" applyFill="1" applyBorder="1" applyAlignment="1">
      <alignment vertical="top"/>
    </xf>
    <xf numFmtId="176" fontId="16" fillId="0" borderId="0" xfId="0" applyNumberFormat="1" applyFont="1" applyFill="1" applyBorder="1" applyAlignment="1">
      <alignment vertical="top" wrapText="1"/>
    </xf>
    <xf numFmtId="0" fontId="30" fillId="0" borderId="0" xfId="0" applyFont="1" applyBorder="1" applyAlignment="1">
      <alignment vertical="center"/>
    </xf>
    <xf numFmtId="0" fontId="11" fillId="0" borderId="0" xfId="0" applyFont="1" applyAlignment="1">
      <alignment horizontal="justify" vertical="center"/>
    </xf>
    <xf numFmtId="180" fontId="9" fillId="25" borderId="0" xfId="94" applyNumberFormat="1" applyFont="1" applyFill="1" applyBorder="1" applyAlignment="1">
      <alignment horizontal="left" vertical="center"/>
    </xf>
    <xf numFmtId="0" fontId="2" fillId="27" borderId="12" xfId="0" applyNumberFormat="1" applyFont="1" applyFill="1" applyBorder="1" applyAlignment="1" applyProtection="1">
      <alignment horizontal="left" vertical="center" shrinkToFit="1"/>
      <protection locked="0"/>
    </xf>
    <xf numFmtId="0" fontId="2" fillId="27" borderId="12" xfId="0" applyFont="1" applyFill="1" applyBorder="1" applyAlignment="1" applyProtection="1">
      <alignment horizontal="left" vertical="center"/>
      <protection locked="0"/>
    </xf>
    <xf numFmtId="49" fontId="2" fillId="27" borderId="12" xfId="0" applyNumberFormat="1" applyFont="1" applyFill="1" applyBorder="1" applyAlignment="1" applyProtection="1">
      <alignment horizontal="left" vertical="center" wrapText="1"/>
      <protection locked="0"/>
    </xf>
    <xf numFmtId="178" fontId="2" fillId="27" borderId="27" xfId="0" applyNumberFormat="1" applyFont="1" applyFill="1" applyBorder="1" applyAlignment="1" applyProtection="1">
      <alignment horizontal="left" vertical="center" wrapText="1"/>
      <protection locked="0"/>
    </xf>
    <xf numFmtId="179" fontId="2" fillId="27" borderId="27" xfId="0" applyNumberFormat="1" applyFont="1" applyFill="1" applyBorder="1" applyAlignment="1" applyProtection="1">
      <alignment horizontal="left" vertical="center" wrapText="1"/>
      <protection locked="0"/>
    </xf>
    <xf numFmtId="0" fontId="2" fillId="27" borderId="12" xfId="0" applyFont="1" applyFill="1" applyBorder="1" applyAlignment="1" applyProtection="1">
      <alignment horizontal="left" vertical="center" wrapText="1"/>
      <protection locked="0"/>
    </xf>
    <xf numFmtId="0" fontId="11" fillId="0" borderId="28" xfId="0" applyFont="1" applyBorder="1" applyAlignment="1">
      <alignment horizontal="center" vertical="center"/>
    </xf>
    <xf numFmtId="0" fontId="11" fillId="0" borderId="0" xfId="0" applyFont="1" applyBorder="1">
      <alignment vertical="center"/>
    </xf>
    <xf numFmtId="0" fontId="26" fillId="0" borderId="0" xfId="0" applyFont="1" applyBorder="1" applyAlignment="1">
      <alignment horizontal="left" vertical="center"/>
    </xf>
    <xf numFmtId="0" fontId="11" fillId="0" borderId="29" xfId="0" applyFont="1" applyBorder="1" applyAlignment="1">
      <alignment vertical="center"/>
    </xf>
    <xf numFmtId="0" fontId="11" fillId="0" borderId="30" xfId="0" applyFont="1" applyBorder="1" applyAlignment="1">
      <alignment vertical="center"/>
    </xf>
    <xf numFmtId="0" fontId="11" fillId="0" borderId="29" xfId="0" applyFont="1" applyBorder="1" applyAlignment="1">
      <alignment vertical="center" wrapText="1"/>
    </xf>
    <xf numFmtId="0" fontId="11" fillId="0" borderId="31" xfId="0" applyFont="1" applyBorder="1" applyAlignment="1">
      <alignment vertical="center" wrapText="1"/>
    </xf>
    <xf numFmtId="0" fontId="33" fillId="0" borderId="0" xfId="0" applyFont="1" applyBorder="1" applyAlignment="1">
      <alignment horizontal="centerContinuous" vertical="center"/>
    </xf>
    <xf numFmtId="0" fontId="34" fillId="28" borderId="32" xfId="0" applyFont="1" applyFill="1" applyBorder="1" applyAlignment="1" applyProtection="1">
      <alignment vertical="center" wrapText="1"/>
      <protection locked="0"/>
    </xf>
    <xf numFmtId="0" fontId="12" fillId="28" borderId="32" xfId="0" applyFont="1" applyFill="1" applyBorder="1" applyAlignment="1" applyProtection="1">
      <alignment vertical="center" wrapText="1"/>
      <protection locked="0"/>
    </xf>
    <xf numFmtId="0" fontId="34" fillId="0" borderId="33" xfId="0" applyFont="1" applyBorder="1" applyAlignment="1">
      <alignment vertical="center"/>
    </xf>
    <xf numFmtId="0" fontId="11" fillId="0" borderId="34" xfId="0" applyFont="1" applyFill="1" applyBorder="1" applyAlignment="1">
      <alignment horizontal="left" vertical="center"/>
    </xf>
    <xf numFmtId="0" fontId="35" fillId="0" borderId="0" xfId="0" applyFont="1" applyBorder="1" applyAlignment="1">
      <alignment horizontal="centerContinuous" vertical="center"/>
    </xf>
    <xf numFmtId="0" fontId="2" fillId="27" borderId="36" xfId="0" applyFont="1" applyFill="1" applyBorder="1" applyAlignment="1">
      <alignment vertical="center"/>
    </xf>
    <xf numFmtId="184" fontId="2" fillId="27" borderId="12" xfId="0" applyNumberFormat="1" applyFont="1" applyFill="1" applyBorder="1" applyAlignment="1" applyProtection="1">
      <alignment horizontal="left" vertical="center" wrapText="1"/>
      <protection locked="0"/>
    </xf>
    <xf numFmtId="0" fontId="20" fillId="0" borderId="0" xfId="93" applyFont="1" applyBorder="1" applyAlignment="1"/>
    <xf numFmtId="0" fontId="11" fillId="0" borderId="0" xfId="0" applyFont="1" applyBorder="1" applyAlignment="1">
      <alignment horizontal="right" vertical="center"/>
    </xf>
    <xf numFmtId="0" fontId="5" fillId="0" borderId="39" xfId="0" applyFont="1" applyFill="1" applyBorder="1" applyAlignment="1" applyProtection="1">
      <alignment vertical="center" wrapText="1"/>
      <protection locked="0"/>
    </xf>
    <xf numFmtId="0" fontId="34" fillId="0" borderId="40" xfId="0" applyFont="1" applyBorder="1" applyAlignment="1">
      <alignment vertical="center"/>
    </xf>
    <xf numFmtId="0" fontId="11" fillId="0" borderId="41" xfId="0" applyFont="1" applyFill="1" applyBorder="1" applyAlignment="1">
      <alignment horizontal="center" vertical="center" shrinkToFit="1"/>
    </xf>
    <xf numFmtId="0" fontId="11" fillId="0" borderId="35" xfId="0" applyFont="1" applyFill="1" applyBorder="1" applyAlignment="1">
      <alignment horizontal="right" vertical="center" shrinkToFit="1"/>
    </xf>
    <xf numFmtId="0" fontId="11" fillId="25" borderId="42" xfId="0" applyFont="1" applyFill="1" applyBorder="1" applyAlignment="1">
      <alignment horizontal="right" vertical="center" shrinkToFit="1"/>
    </xf>
    <xf numFmtId="0" fontId="11" fillId="0" borderId="32" xfId="0" applyFont="1" applyBorder="1" applyAlignment="1">
      <alignment horizontal="center" vertical="center"/>
    </xf>
    <xf numFmtId="0" fontId="11" fillId="0" borderId="0" xfId="0" applyFont="1" applyAlignment="1">
      <alignment horizontal="left" vertical="center"/>
    </xf>
    <xf numFmtId="0" fontId="23" fillId="25" borderId="27" xfId="0" applyNumberFormat="1" applyFont="1" applyFill="1" applyBorder="1" applyAlignment="1">
      <alignment horizontal="right" vertical="center"/>
    </xf>
    <xf numFmtId="0" fontId="34" fillId="0" borderId="43" xfId="0" applyFont="1" applyFill="1" applyBorder="1" applyAlignment="1">
      <alignment horizontal="left" vertical="center"/>
    </xf>
    <xf numFmtId="0" fontId="11" fillId="0" borderId="44" xfId="0" applyFont="1" applyBorder="1" applyAlignment="1">
      <alignment horizontal="center" vertical="center"/>
    </xf>
    <xf numFmtId="0" fontId="11" fillId="0" borderId="45" xfId="0" applyFont="1" applyBorder="1" applyAlignment="1">
      <alignment horizontal="center" vertical="center"/>
    </xf>
    <xf numFmtId="176" fontId="16" fillId="0" borderId="46" xfId="0" applyNumberFormat="1" applyFont="1" applyFill="1" applyBorder="1" applyAlignment="1">
      <alignment vertical="top" wrapText="1"/>
    </xf>
    <xf numFmtId="176" fontId="16" fillId="0" borderId="47" xfId="0" applyNumberFormat="1" applyFont="1" applyFill="1" applyBorder="1" applyAlignment="1">
      <alignment vertical="top" wrapText="1"/>
    </xf>
    <xf numFmtId="0" fontId="11" fillId="0" borderId="16" xfId="0" applyFont="1" applyBorder="1" applyAlignment="1">
      <alignment horizontal="center" vertical="center"/>
    </xf>
    <xf numFmtId="0" fontId="11" fillId="0" borderId="16" xfId="0" applyFont="1" applyBorder="1" applyAlignment="1">
      <alignment vertical="center"/>
    </xf>
    <xf numFmtId="0" fontId="4" fillId="0" borderId="13" xfId="0" applyFont="1" applyBorder="1" applyAlignment="1">
      <alignment vertical="center"/>
    </xf>
    <xf numFmtId="0" fontId="4" fillId="0" borderId="17" xfId="0" applyFont="1" applyBorder="1" applyAlignment="1">
      <alignment vertical="center"/>
    </xf>
    <xf numFmtId="0" fontId="11" fillId="0" borderId="48" xfId="0" applyFont="1" applyBorder="1" applyAlignment="1">
      <alignment vertical="center"/>
    </xf>
    <xf numFmtId="0" fontId="11" fillId="0" borderId="47" xfId="0" applyFont="1" applyBorder="1" applyAlignment="1">
      <alignment vertical="center"/>
    </xf>
    <xf numFmtId="0" fontId="45" fillId="25" borderId="49" xfId="0" applyFont="1" applyFill="1" applyBorder="1" applyAlignment="1">
      <alignment horizontal="left" vertical="center" shrinkToFit="1"/>
    </xf>
    <xf numFmtId="0" fontId="31" fillId="27" borderId="50" xfId="0" applyFont="1" applyFill="1" applyBorder="1" applyAlignment="1">
      <alignment vertical="center" shrinkToFit="1"/>
    </xf>
    <xf numFmtId="0" fontId="28" fillId="25" borderId="50" xfId="0" applyFont="1" applyFill="1" applyBorder="1" applyAlignment="1">
      <alignment horizontal="left" vertical="center" shrinkToFit="1"/>
    </xf>
    <xf numFmtId="0" fontId="50" fillId="0" borderId="0" xfId="0" applyFont="1" applyAlignment="1">
      <alignment horizontal="center" vertical="center"/>
    </xf>
    <xf numFmtId="0" fontId="51" fillId="0" borderId="25" xfId="0" applyFont="1" applyBorder="1" applyAlignment="1">
      <alignment horizontal="distributed" vertical="center" justifyLastLine="1"/>
    </xf>
    <xf numFmtId="0" fontId="51" fillId="0" borderId="25" xfId="0" applyFont="1" applyBorder="1" applyAlignment="1">
      <alignment horizontal="center" vertical="center"/>
    </xf>
    <xf numFmtId="0" fontId="51" fillId="0" borderId="0" xfId="0" applyFont="1" applyBorder="1" applyAlignment="1">
      <alignment horizontal="distributed" vertical="center" justifyLastLine="1"/>
    </xf>
    <xf numFmtId="0" fontId="51" fillId="0" borderId="35" xfId="0" applyFont="1" applyBorder="1" applyAlignment="1">
      <alignment horizontal="distributed" vertical="center" justifyLastLine="1"/>
    </xf>
    <xf numFmtId="0" fontId="51" fillId="0" borderId="35" xfId="0" applyFont="1" applyBorder="1" applyAlignment="1">
      <alignment horizontal="center" vertical="center"/>
    </xf>
    <xf numFmtId="0" fontId="51" fillId="0" borderId="0" xfId="0" applyFont="1">
      <alignment vertical="center"/>
    </xf>
    <xf numFmtId="0" fontId="45" fillId="0" borderId="0" xfId="0" applyFont="1" applyAlignment="1">
      <alignment horizontal="left" vertical="center"/>
    </xf>
    <xf numFmtId="177" fontId="51" fillId="0" borderId="0" xfId="0" applyNumberFormat="1" applyFont="1" applyAlignment="1">
      <alignment horizontal="left" vertical="center"/>
    </xf>
    <xf numFmtId="0" fontId="51" fillId="0" borderId="0" xfId="0" applyFont="1" applyAlignment="1">
      <alignment vertical="center"/>
    </xf>
    <xf numFmtId="0" fontId="0" fillId="0" borderId="0" xfId="0" applyAlignment="1">
      <alignment horizontal="left" vertical="center" indent="2"/>
    </xf>
    <xf numFmtId="0" fontId="5" fillId="0" borderId="0" xfId="0" applyFont="1" applyProtection="1">
      <alignment vertical="center"/>
    </xf>
    <xf numFmtId="0" fontId="0" fillId="0" borderId="0" xfId="0" applyProtection="1">
      <alignment vertical="center"/>
    </xf>
    <xf numFmtId="0" fontId="5" fillId="0" borderId="0" xfId="0" applyFont="1" applyAlignment="1" applyProtection="1">
      <alignment horizontal="center" vertical="center"/>
    </xf>
    <xf numFmtId="0" fontId="0" fillId="0" borderId="0" xfId="0" applyBorder="1" applyAlignment="1">
      <alignment vertical="center"/>
    </xf>
    <xf numFmtId="0" fontId="11" fillId="0" borderId="35" xfId="0" applyFont="1" applyBorder="1" applyAlignment="1">
      <alignment horizontal="center" vertical="center"/>
    </xf>
    <xf numFmtId="0" fontId="11" fillId="0" borderId="0" xfId="0" applyFont="1" applyBorder="1" applyAlignment="1">
      <alignment horizontal="center" vertical="center"/>
    </xf>
    <xf numFmtId="0" fontId="68" fillId="0" borderId="0" xfId="0" applyFont="1" applyBorder="1" applyAlignment="1">
      <alignment vertical="center"/>
    </xf>
    <xf numFmtId="0" fontId="0" fillId="0" borderId="0" xfId="0" applyProtection="1">
      <alignment vertical="center"/>
      <protection locked="0"/>
    </xf>
    <xf numFmtId="0" fontId="52" fillId="0" borderId="45" xfId="0" applyFont="1" applyBorder="1" applyProtection="1">
      <alignment vertical="center"/>
    </xf>
    <xf numFmtId="186" fontId="73" fillId="0" borderId="0" xfId="0" applyNumberFormat="1" applyFont="1" applyBorder="1" applyAlignment="1">
      <alignment vertical="center"/>
    </xf>
    <xf numFmtId="49" fontId="31" fillId="29" borderId="43" xfId="0" applyNumberFormat="1" applyFont="1" applyFill="1" applyBorder="1" applyAlignment="1">
      <alignment horizontal="center" vertical="center" shrinkToFit="1"/>
    </xf>
    <xf numFmtId="0" fontId="4" fillId="0" borderId="0" xfId="0" applyFont="1" applyBorder="1" applyAlignment="1" applyProtection="1">
      <alignment vertical="center"/>
    </xf>
    <xf numFmtId="0" fontId="4" fillId="0" borderId="52" xfId="0" applyFont="1" applyBorder="1" applyAlignment="1" applyProtection="1">
      <alignment vertical="center"/>
    </xf>
    <xf numFmtId="0" fontId="4" fillId="0" borderId="53" xfId="0" applyFont="1" applyBorder="1" applyAlignment="1" applyProtection="1">
      <alignment vertical="center"/>
    </xf>
    <xf numFmtId="0" fontId="4" fillId="0" borderId="54" xfId="0" applyFont="1" applyBorder="1" applyAlignment="1" applyProtection="1">
      <alignment horizontal="right" vertical="center"/>
    </xf>
    <xf numFmtId="0" fontId="4" fillId="0" borderId="55" xfId="0" applyFont="1" applyBorder="1" applyAlignment="1" applyProtection="1">
      <alignment vertical="center"/>
    </xf>
    <xf numFmtId="0" fontId="4" fillId="0" borderId="56" xfId="0" applyFont="1" applyBorder="1" applyAlignment="1" applyProtection="1">
      <alignment vertical="center"/>
    </xf>
    <xf numFmtId="0" fontId="4" fillId="0" borderId="27" xfId="0" applyFont="1" applyBorder="1" applyAlignment="1" applyProtection="1">
      <alignment vertical="center"/>
    </xf>
    <xf numFmtId="0" fontId="4" fillId="0" borderId="37" xfId="0" applyFont="1" applyBorder="1" applyAlignment="1" applyProtection="1">
      <alignment vertical="center"/>
    </xf>
    <xf numFmtId="0" fontId="4" fillId="0" borderId="40" xfId="0" applyFont="1" applyBorder="1" applyAlignment="1" applyProtection="1">
      <alignment vertical="center"/>
    </xf>
    <xf numFmtId="0" fontId="72" fillId="0" borderId="56" xfId="0" applyFont="1" applyBorder="1" applyAlignment="1" applyProtection="1">
      <alignment horizontal="distributed" vertical="center"/>
    </xf>
    <xf numFmtId="0" fontId="4" fillId="0" borderId="57" xfId="0" applyFont="1" applyBorder="1" applyAlignment="1" applyProtection="1">
      <alignment vertical="center"/>
    </xf>
    <xf numFmtId="0" fontId="4" fillId="0" borderId="58" xfId="0" applyFont="1" applyBorder="1" applyAlignment="1" applyProtection="1">
      <alignment vertical="center"/>
    </xf>
    <xf numFmtId="0" fontId="4" fillId="0" borderId="59" xfId="0" applyFont="1" applyBorder="1" applyAlignment="1" applyProtection="1">
      <alignment vertical="center"/>
    </xf>
    <xf numFmtId="0" fontId="4" fillId="0" borderId="0" xfId="0" applyFont="1" applyBorder="1" applyAlignment="1" applyProtection="1">
      <alignment horizontal="right" vertical="center"/>
    </xf>
    <xf numFmtId="0" fontId="11" fillId="0" borderId="0" xfId="0" applyFont="1" applyBorder="1" applyAlignment="1" applyProtection="1">
      <alignment vertical="center"/>
    </xf>
    <xf numFmtId="0" fontId="13" fillId="0" borderId="0" xfId="0" applyFont="1" applyBorder="1" applyAlignment="1" applyProtection="1">
      <alignment vertical="center"/>
    </xf>
    <xf numFmtId="0" fontId="11" fillId="0" borderId="60" xfId="0" applyFont="1" applyBorder="1" applyAlignment="1" applyProtection="1">
      <alignment horizontal="right" vertical="center" shrinkToFit="1"/>
    </xf>
    <xf numFmtId="0" fontId="11" fillId="0" borderId="29" xfId="0" applyFont="1" applyBorder="1" applyAlignment="1" applyProtection="1">
      <alignment horizontal="right" vertical="center"/>
    </xf>
    <xf numFmtId="186" fontId="41" fillId="27" borderId="61" xfId="66" applyNumberFormat="1" applyFont="1" applyFill="1" applyBorder="1" applyAlignment="1" applyProtection="1">
      <alignment horizontal="right" vertical="center" indent="1"/>
    </xf>
    <xf numFmtId="189" fontId="41" fillId="34" borderId="61" xfId="66" applyNumberFormat="1" applyFont="1" applyFill="1" applyBorder="1" applyAlignment="1" applyProtection="1">
      <alignment horizontal="right" vertical="center" indent="1"/>
    </xf>
    <xf numFmtId="0" fontId="66" fillId="0" borderId="0" xfId="0" applyFont="1" applyBorder="1" applyAlignment="1" applyProtection="1">
      <alignment horizontal="center" vertical="center" shrinkToFit="1"/>
    </xf>
    <xf numFmtId="0" fontId="11" fillId="0" borderId="62" xfId="0" applyFont="1" applyBorder="1" applyAlignment="1" applyProtection="1">
      <alignment horizontal="right" vertical="center"/>
    </xf>
    <xf numFmtId="186" fontId="41" fillId="27" borderId="61" xfId="66" applyNumberFormat="1" applyFont="1" applyFill="1" applyBorder="1" applyAlignment="1" applyProtection="1">
      <alignment horizontal="right" vertical="center" indent="1" shrinkToFit="1"/>
    </xf>
    <xf numFmtId="186" fontId="41" fillId="27" borderId="63" xfId="66" applyNumberFormat="1" applyFont="1" applyFill="1" applyBorder="1" applyAlignment="1" applyProtection="1">
      <alignment horizontal="right" vertical="center" indent="1"/>
    </xf>
    <xf numFmtId="0" fontId="11" fillId="0" borderId="0" xfId="0" applyFont="1" applyBorder="1" applyAlignment="1" applyProtection="1">
      <alignment vertical="center" wrapText="1"/>
    </xf>
    <xf numFmtId="0" fontId="69" fillId="0" borderId="0" xfId="0" applyFont="1" applyBorder="1" applyAlignment="1" applyProtection="1">
      <alignment vertical="center"/>
    </xf>
    <xf numFmtId="0" fontId="41" fillId="0" borderId="64" xfId="0" applyFont="1" applyFill="1" applyBorder="1" applyAlignment="1" applyProtection="1">
      <alignment vertical="center" shrinkToFit="1"/>
    </xf>
    <xf numFmtId="0" fontId="19" fillId="0" borderId="0" xfId="0" applyFont="1" applyBorder="1" applyAlignment="1" applyProtection="1">
      <alignment vertical="center"/>
    </xf>
    <xf numFmtId="0" fontId="5" fillId="27" borderId="12" xfId="0" applyFont="1" applyFill="1" applyBorder="1" applyAlignment="1" applyProtection="1">
      <alignment vertical="center"/>
    </xf>
    <xf numFmtId="0" fontId="2" fillId="0" borderId="65" xfId="0" applyFont="1" applyFill="1" applyBorder="1" applyAlignment="1" applyProtection="1">
      <alignment vertical="center" shrinkToFit="1"/>
    </xf>
    <xf numFmtId="0" fontId="2" fillId="0" borderId="0" xfId="0" applyFont="1" applyFill="1" applyBorder="1" applyAlignment="1" applyProtection="1">
      <alignment vertical="center" shrinkToFit="1"/>
    </xf>
    <xf numFmtId="0" fontId="3" fillId="0" borderId="0" xfId="0" applyFont="1" applyBorder="1" applyAlignment="1" applyProtection="1">
      <alignment horizontal="right" vertical="center"/>
    </xf>
    <xf numFmtId="0" fontId="3" fillId="0" borderId="0" xfId="0" applyFont="1" applyBorder="1" applyAlignment="1" applyProtection="1">
      <alignment vertical="center"/>
    </xf>
    <xf numFmtId="0" fontId="25" fillId="0" borderId="0" xfId="0" applyFont="1" applyBorder="1" applyAlignment="1" applyProtection="1">
      <alignment vertical="center"/>
    </xf>
    <xf numFmtId="0" fontId="20" fillId="0" borderId="0" xfId="93" applyFont="1" applyBorder="1" applyAlignment="1" applyProtection="1">
      <alignment horizontal="left" indent="5" shrinkToFit="1"/>
    </xf>
    <xf numFmtId="180" fontId="9" fillId="25" borderId="0" xfId="94" applyNumberFormat="1" applyFont="1" applyFill="1" applyBorder="1" applyAlignment="1" applyProtection="1">
      <alignment horizontal="left" vertical="center"/>
    </xf>
    <xf numFmtId="38" fontId="2" fillId="0" borderId="0" xfId="66" applyFont="1" applyFill="1" applyBorder="1" applyAlignment="1" applyProtection="1">
      <alignment vertical="center"/>
    </xf>
    <xf numFmtId="0" fontId="49" fillId="25" borderId="66" xfId="0" applyFont="1" applyFill="1" applyBorder="1" applyAlignment="1" applyProtection="1">
      <alignment horizontal="center" vertical="center"/>
      <protection locked="0"/>
    </xf>
    <xf numFmtId="186" fontId="49" fillId="25" borderId="61" xfId="66" applyNumberFormat="1" applyFont="1" applyFill="1" applyBorder="1" applyAlignment="1" applyProtection="1">
      <alignment horizontal="center" vertical="center"/>
      <protection locked="0"/>
    </xf>
    <xf numFmtId="185" fontId="23" fillId="25" borderId="67" xfId="0" applyNumberFormat="1" applyFont="1" applyFill="1" applyBorder="1" applyAlignment="1">
      <alignment vertical="center"/>
    </xf>
    <xf numFmtId="186" fontId="41" fillId="37" borderId="76" xfId="66" applyNumberFormat="1" applyFont="1" applyFill="1" applyBorder="1" applyAlignment="1" applyProtection="1">
      <alignment horizontal="right" vertical="center" indent="1"/>
    </xf>
    <xf numFmtId="0" fontId="2" fillId="0" borderId="0" xfId="92"/>
    <xf numFmtId="0" fontId="94" fillId="0" borderId="0" xfId="92" applyFont="1" applyAlignment="1">
      <alignment vertical="center" wrapText="1"/>
    </xf>
    <xf numFmtId="0" fontId="2" fillId="30" borderId="0" xfId="92" applyFill="1"/>
    <xf numFmtId="0" fontId="4" fillId="0" borderId="0" xfId="92" applyFont="1"/>
    <xf numFmtId="0" fontId="4" fillId="0" borderId="52" xfId="92" applyFont="1" applyBorder="1" applyAlignment="1">
      <alignment horizontal="left" vertical="center"/>
    </xf>
    <xf numFmtId="0" fontId="4" fillId="0" borderId="77" xfId="92" applyFont="1" applyBorder="1" applyAlignment="1">
      <alignment horizontal="left" vertical="center"/>
    </xf>
    <xf numFmtId="0" fontId="4" fillId="0" borderId="78" xfId="92" applyFont="1" applyBorder="1" applyAlignment="1">
      <alignment horizontal="centerContinuous" vertical="center"/>
    </xf>
    <xf numFmtId="0" fontId="4" fillId="0" borderId="36" xfId="92" applyFont="1" applyBorder="1" applyAlignment="1">
      <alignment horizontal="centerContinuous" vertical="center"/>
    </xf>
    <xf numFmtId="0" fontId="4" fillId="0" borderId="79" xfId="92" applyFont="1" applyBorder="1" applyAlignment="1">
      <alignment horizontal="center" vertical="center"/>
    </xf>
    <xf numFmtId="0" fontId="4" fillId="30" borderId="0" xfId="92" applyFont="1" applyFill="1"/>
    <xf numFmtId="0" fontId="4" fillId="0" borderId="56" xfId="92" applyFont="1" applyBorder="1" applyAlignment="1">
      <alignment horizontal="left" vertical="center"/>
    </xf>
    <xf numFmtId="0" fontId="4" fillId="0" borderId="80" xfId="92" applyFont="1" applyBorder="1" applyAlignment="1">
      <alignment horizontal="left" vertical="center"/>
    </xf>
    <xf numFmtId="0" fontId="4" fillId="0" borderId="32" xfId="92" applyFont="1" applyBorder="1" applyAlignment="1">
      <alignment horizontal="centerContinuous" vertical="center"/>
    </xf>
    <xf numFmtId="0" fontId="4" fillId="0" borderId="44" xfId="92" applyFont="1" applyBorder="1" applyAlignment="1">
      <alignment horizontal="centerContinuous" vertical="center"/>
    </xf>
    <xf numFmtId="0" fontId="4" fillId="0" borderId="81" xfId="92" applyFont="1" applyBorder="1" applyAlignment="1">
      <alignment horizontal="center" vertical="center"/>
    </xf>
    <xf numFmtId="0" fontId="4" fillId="0" borderId="82" xfId="92" applyFont="1" applyBorder="1" applyAlignment="1">
      <alignment vertical="center"/>
    </xf>
    <xf numFmtId="0" fontId="4" fillId="0" borderId="83" xfId="92" applyFont="1" applyBorder="1" applyAlignment="1">
      <alignment vertical="center"/>
    </xf>
    <xf numFmtId="0" fontId="4" fillId="0" borderId="45" xfId="92" applyFont="1" applyBorder="1" applyAlignment="1">
      <alignment horizontal="center" vertical="center"/>
    </xf>
    <xf numFmtId="0" fontId="4" fillId="0" borderId="84" xfId="92" applyFont="1" applyBorder="1" applyAlignment="1">
      <alignment vertical="center"/>
    </xf>
    <xf numFmtId="0" fontId="4" fillId="0" borderId="24" xfId="92" applyFont="1" applyBorder="1" applyAlignment="1">
      <alignment horizontal="center" vertical="center"/>
    </xf>
    <xf numFmtId="0" fontId="4" fillId="0" borderId="45" xfId="92" applyFont="1" applyBorder="1" applyAlignment="1">
      <alignment horizontal="centerContinuous" vertical="center"/>
    </xf>
    <xf numFmtId="0" fontId="4" fillId="0" borderId="33" xfId="92" applyFont="1" applyBorder="1" applyAlignment="1">
      <alignment horizontal="center" vertical="center"/>
    </xf>
    <xf numFmtId="0" fontId="24" fillId="0" borderId="85" xfId="92" applyFont="1" applyBorder="1" applyAlignment="1">
      <alignment horizontal="right" vertical="top"/>
    </xf>
    <xf numFmtId="0" fontId="24" fillId="0" borderId="48" xfId="92" applyFont="1" applyBorder="1" applyAlignment="1">
      <alignment horizontal="right" vertical="top"/>
    </xf>
    <xf numFmtId="0" fontId="24" fillId="0" borderId="86" xfId="92" applyFont="1" applyBorder="1" applyAlignment="1">
      <alignment horizontal="right" vertical="top"/>
    </xf>
    <xf numFmtId="3" fontId="2" fillId="0" borderId="87" xfId="92" applyNumberFormat="1" applyBorder="1" applyAlignment="1">
      <alignment vertical="top"/>
    </xf>
    <xf numFmtId="3" fontId="2" fillId="0" borderId="46" xfId="92" applyNumberFormat="1" applyBorder="1" applyAlignment="1">
      <alignment vertical="top"/>
    </xf>
    <xf numFmtId="3" fontId="74" fillId="0" borderId="81" xfId="92" applyNumberFormat="1" applyFont="1" applyBorder="1" applyAlignment="1">
      <alignment wrapText="1"/>
    </xf>
    <xf numFmtId="1" fontId="2" fillId="0" borderId="0" xfId="92" applyNumberFormat="1"/>
    <xf numFmtId="3" fontId="2" fillId="0" borderId="87" xfId="92" applyNumberFormat="1" applyBorder="1"/>
    <xf numFmtId="3" fontId="2" fillId="0" borderId="46" xfId="92" applyNumberFormat="1" applyBorder="1"/>
    <xf numFmtId="3" fontId="2" fillId="0" borderId="81" xfId="92" applyNumberFormat="1" applyBorder="1"/>
    <xf numFmtId="3" fontId="2" fillId="0" borderId="88" xfId="92" applyNumberFormat="1" applyBorder="1"/>
    <xf numFmtId="3" fontId="2" fillId="0" borderId="89" xfId="92" applyNumberFormat="1" applyBorder="1"/>
    <xf numFmtId="3" fontId="2" fillId="0" borderId="90" xfId="92" applyNumberFormat="1" applyBorder="1"/>
    <xf numFmtId="3" fontId="2" fillId="0" borderId="88" xfId="92" applyNumberFormat="1" applyFont="1" applyBorder="1"/>
    <xf numFmtId="3" fontId="2" fillId="0" borderId="89" xfId="92" applyNumberFormat="1" applyFont="1" applyBorder="1"/>
    <xf numFmtId="3" fontId="2" fillId="0" borderId="90" xfId="92" applyNumberFormat="1" applyFont="1" applyBorder="1"/>
    <xf numFmtId="3" fontId="2" fillId="0" borderId="56" xfId="92" applyNumberFormat="1" applyBorder="1"/>
    <xf numFmtId="3" fontId="2" fillId="0" borderId="80" xfId="92" applyNumberFormat="1" applyBorder="1"/>
    <xf numFmtId="38" fontId="2" fillId="0" borderId="46" xfId="66" applyFont="1" applyFill="1" applyBorder="1" applyAlignment="1"/>
    <xf numFmtId="38" fontId="2" fillId="0" borderId="81" xfId="66" applyFont="1" applyFill="1" applyBorder="1" applyAlignment="1"/>
    <xf numFmtId="38" fontId="2" fillId="0" borderId="82" xfId="66" applyFont="1" applyFill="1" applyBorder="1" applyAlignment="1">
      <alignment horizontal="center"/>
    </xf>
    <xf numFmtId="38" fontId="2" fillId="0" borderId="83" xfId="66" applyFont="1" applyFill="1" applyBorder="1" applyAlignment="1">
      <alignment horizontal="center"/>
    </xf>
    <xf numFmtId="38" fontId="2" fillId="0" borderId="47" xfId="66" applyFont="1" applyFill="1" applyBorder="1" applyAlignment="1"/>
    <xf numFmtId="38" fontId="2" fillId="0" borderId="84" xfId="66" applyFont="1" applyFill="1" applyBorder="1" applyAlignment="1"/>
    <xf numFmtId="38" fontId="2" fillId="0" borderId="16" xfId="66" applyFont="1" applyFill="1" applyBorder="1" applyAlignment="1"/>
    <xf numFmtId="38" fontId="2" fillId="0" borderId="0" xfId="66" applyFont="1" applyFill="1" applyBorder="1" applyAlignment="1"/>
    <xf numFmtId="38" fontId="2" fillId="0" borderId="80" xfId="66" applyFont="1" applyFill="1" applyBorder="1" applyAlignment="1"/>
    <xf numFmtId="0" fontId="2" fillId="0" borderId="56" xfId="0" applyFont="1" applyFill="1" applyBorder="1" applyAlignment="1">
      <alignment horizontal="left"/>
    </xf>
    <xf numFmtId="0" fontId="2" fillId="0" borderId="80" xfId="0" applyFont="1" applyFill="1" applyBorder="1" applyAlignment="1">
      <alignment horizontal="left"/>
    </xf>
    <xf numFmtId="0" fontId="2" fillId="0" borderId="16" xfId="0" applyFont="1" applyFill="1" applyBorder="1" applyAlignment="1">
      <alignment horizontal="centerContinuous"/>
    </xf>
    <xf numFmtId="0" fontId="2" fillId="0" borderId="0" xfId="0" applyFont="1" applyFill="1" applyBorder="1" applyAlignment="1">
      <alignment horizontal="centerContinuous"/>
    </xf>
    <xf numFmtId="0" fontId="2" fillId="0" borderId="80" xfId="0" applyFont="1" applyFill="1" applyBorder="1" applyAlignment="1">
      <alignment horizontal="centerContinuous"/>
    </xf>
    <xf numFmtId="0" fontId="2" fillId="0" borderId="56" xfId="0" applyFont="1" applyFill="1" applyBorder="1" applyAlignment="1">
      <alignment horizontal="centerContinuous"/>
    </xf>
    <xf numFmtId="0" fontId="2" fillId="0" borderId="16" xfId="0" applyFont="1" applyFill="1" applyBorder="1" applyAlignment="1">
      <alignment horizontal="left"/>
    </xf>
    <xf numFmtId="0" fontId="2" fillId="0" borderId="0" xfId="0" applyFont="1" applyFill="1" applyBorder="1" applyAlignment="1">
      <alignment horizontal="left"/>
    </xf>
    <xf numFmtId="0" fontId="2" fillId="0" borderId="56" xfId="0" applyFont="1" applyFill="1" applyBorder="1" applyAlignment="1">
      <alignment horizontal="center"/>
    </xf>
    <xf numFmtId="0" fontId="2" fillId="0" borderId="80" xfId="0" applyFont="1" applyFill="1" applyBorder="1" applyAlignment="1">
      <alignment horizontal="center"/>
    </xf>
    <xf numFmtId="0" fontId="2" fillId="0" borderId="91" xfId="0" applyFont="1" applyFill="1" applyBorder="1" applyAlignment="1">
      <alignment horizontal="centerContinuous"/>
    </xf>
    <xf numFmtId="0" fontId="2" fillId="0" borderId="92" xfId="0" applyFont="1" applyFill="1" applyBorder="1" applyAlignment="1">
      <alignment horizontal="centerContinuous"/>
    </xf>
    <xf numFmtId="0" fontId="2" fillId="0" borderId="82" xfId="0" applyFont="1" applyFill="1" applyBorder="1" applyAlignment="1">
      <alignment horizontal="centerContinuous"/>
    </xf>
    <xf numFmtId="0" fontId="2" fillId="0" borderId="83" xfId="0" applyFont="1" applyFill="1" applyBorder="1" applyAlignment="1">
      <alignment horizontal="centerContinuous"/>
    </xf>
    <xf numFmtId="0" fontId="2" fillId="0" borderId="82" xfId="0" applyFont="1" applyFill="1" applyBorder="1" applyAlignment="1">
      <alignment horizontal="left"/>
    </xf>
    <xf numFmtId="0" fontId="2" fillId="0" borderId="83" xfId="0" applyFont="1" applyFill="1" applyBorder="1" applyAlignment="1">
      <alignment horizontal="left"/>
    </xf>
    <xf numFmtId="0" fontId="2" fillId="0" borderId="17" xfId="0" applyFont="1" applyFill="1" applyBorder="1" applyAlignment="1">
      <alignment horizontal="centerContinuous"/>
    </xf>
    <xf numFmtId="0" fontId="2" fillId="0" borderId="35" xfId="0" applyFont="1" applyFill="1" applyBorder="1" applyAlignment="1">
      <alignment horizontal="centerContinuous"/>
    </xf>
    <xf numFmtId="0" fontId="2" fillId="0" borderId="91" xfId="0" applyFont="1" applyFill="1" applyBorder="1" applyAlignment="1">
      <alignment horizontal="center"/>
    </xf>
    <xf numFmtId="0" fontId="2" fillId="0" borderId="92" xfId="0" applyFont="1" applyFill="1" applyBorder="1" applyAlignment="1">
      <alignment horizontal="center"/>
    </xf>
    <xf numFmtId="0" fontId="2" fillId="0" borderId="13" xfId="0" applyFont="1" applyFill="1" applyBorder="1" applyAlignment="1">
      <alignment horizontal="centerContinuous"/>
    </xf>
    <xf numFmtId="0" fontId="2" fillId="0" borderId="25" xfId="0" applyFont="1" applyFill="1" applyBorder="1" applyAlignment="1">
      <alignment horizontal="centerContinuous"/>
    </xf>
    <xf numFmtId="0" fontId="2" fillId="0" borderId="25" xfId="0" applyFont="1" applyFill="1" applyBorder="1" applyAlignment="1">
      <alignment horizontal="center"/>
    </xf>
    <xf numFmtId="0" fontId="2" fillId="0" borderId="25" xfId="0" applyFont="1" applyFill="1" applyBorder="1">
      <alignment vertical="center"/>
    </xf>
    <xf numFmtId="0" fontId="2" fillId="0" borderId="92" xfId="0" applyFont="1" applyFill="1" applyBorder="1">
      <alignment vertical="center"/>
    </xf>
    <xf numFmtId="0" fontId="2" fillId="0" borderId="0" xfId="0" applyFont="1" applyFill="1" applyBorder="1" applyAlignment="1">
      <alignment horizontal="center"/>
    </xf>
    <xf numFmtId="0" fontId="2" fillId="0" borderId="0" xfId="0" applyFont="1" applyFill="1" applyBorder="1">
      <alignment vertical="center"/>
    </xf>
    <xf numFmtId="0" fontId="2" fillId="0" borderId="80" xfId="0" applyFont="1" applyFill="1" applyBorder="1">
      <alignment vertical="center"/>
    </xf>
    <xf numFmtId="0" fontId="2" fillId="30" borderId="56" xfId="92" applyFill="1" applyBorder="1"/>
    <xf numFmtId="0" fontId="2" fillId="0" borderId="57" xfId="0" applyFont="1" applyFill="1" applyBorder="1" applyAlignment="1">
      <alignment horizontal="center"/>
    </xf>
    <xf numFmtId="0" fontId="2" fillId="0" borderId="68" xfId="0" applyFont="1" applyFill="1" applyBorder="1" applyAlignment="1">
      <alignment horizontal="center"/>
    </xf>
    <xf numFmtId="0" fontId="2" fillId="0" borderId="68" xfId="0" applyFont="1" applyFill="1" applyBorder="1">
      <alignment vertical="center"/>
    </xf>
    <xf numFmtId="0" fontId="2" fillId="0" borderId="93" xfId="0" applyFont="1" applyFill="1" applyBorder="1">
      <alignment vertical="center"/>
    </xf>
    <xf numFmtId="0" fontId="67" fillId="0" borderId="0" xfId="0" applyFont="1" applyBorder="1" applyAlignment="1">
      <alignment vertical="center" shrinkToFit="1"/>
    </xf>
    <xf numFmtId="0" fontId="4" fillId="0" borderId="94" xfId="0" applyFont="1" applyBorder="1" applyAlignment="1" applyProtection="1">
      <alignment vertical="center"/>
    </xf>
    <xf numFmtId="0" fontId="4" fillId="0" borderId="95" xfId="0" applyFont="1" applyBorder="1" applyAlignment="1" applyProtection="1">
      <alignment horizontal="right" vertical="center"/>
    </xf>
    <xf numFmtId="0" fontId="72" fillId="0" borderId="0" xfId="0" applyFont="1" applyFill="1" applyBorder="1" applyAlignment="1" applyProtection="1">
      <alignment vertical="center" shrinkToFit="1"/>
    </xf>
    <xf numFmtId="181" fontId="5" fillId="27" borderId="96" xfId="0" applyNumberFormat="1" applyFont="1" applyFill="1" applyBorder="1" applyAlignment="1" applyProtection="1">
      <alignment vertical="center" shrinkToFit="1"/>
    </xf>
    <xf numFmtId="186" fontId="41" fillId="27" borderId="96" xfId="0" applyNumberFormat="1" applyFont="1" applyFill="1" applyBorder="1" applyAlignment="1" applyProtection="1">
      <alignment horizontal="center" vertical="center" shrinkToFit="1"/>
    </xf>
    <xf numFmtId="0" fontId="5" fillId="27" borderId="10" xfId="0" applyFont="1" applyFill="1" applyBorder="1" applyAlignment="1" applyProtection="1">
      <alignment vertical="center" shrinkToFit="1"/>
    </xf>
    <xf numFmtId="0" fontId="0" fillId="0" borderId="10" xfId="0" applyFill="1" applyBorder="1" applyAlignment="1" applyProtection="1">
      <alignment vertical="center" shrinkToFit="1"/>
    </xf>
    <xf numFmtId="181" fontId="5" fillId="27" borderId="10" xfId="0" applyNumberFormat="1" applyFont="1" applyFill="1" applyBorder="1" applyAlignment="1" applyProtection="1">
      <alignment vertical="center" shrinkToFit="1"/>
    </xf>
    <xf numFmtId="0" fontId="23" fillId="0" borderId="97" xfId="0" applyFont="1" applyBorder="1" applyAlignment="1" applyProtection="1">
      <alignment horizontal="right" vertical="center" shrinkToFit="1"/>
    </xf>
    <xf numFmtId="0" fontId="77" fillId="25" borderId="98" xfId="0" applyNumberFormat="1" applyFont="1" applyFill="1" applyBorder="1" applyAlignment="1" applyProtection="1">
      <alignment horizontal="right" vertical="center" shrinkToFit="1"/>
      <protection locked="0"/>
    </xf>
    <xf numFmtId="0" fontId="77" fillId="25" borderId="99" xfId="0" applyNumberFormat="1" applyFont="1" applyFill="1" applyBorder="1" applyAlignment="1" applyProtection="1">
      <alignment horizontal="right" vertical="center" shrinkToFit="1"/>
      <protection locked="0"/>
    </xf>
    <xf numFmtId="0" fontId="77" fillId="0" borderId="0" xfId="0" applyNumberFormat="1" applyFont="1" applyFill="1" applyBorder="1" applyAlignment="1" applyProtection="1">
      <alignment horizontal="right" vertical="center" shrinkToFit="1"/>
      <protection locked="0"/>
    </xf>
    <xf numFmtId="0" fontId="48" fillId="0" borderId="0" xfId="0" applyFont="1" applyBorder="1" applyAlignment="1" applyProtection="1">
      <alignment vertical="center"/>
    </xf>
    <xf numFmtId="190" fontId="77" fillId="25" borderId="100" xfId="0" applyNumberFormat="1" applyFont="1" applyFill="1" applyBorder="1" applyAlignment="1" applyProtection="1">
      <alignment horizontal="right" vertical="center" shrinkToFit="1"/>
      <protection locked="0"/>
    </xf>
    <xf numFmtId="0" fontId="48" fillId="0" borderId="68" xfId="0" applyFont="1" applyBorder="1" applyAlignment="1" applyProtection="1">
      <alignment vertical="center"/>
    </xf>
    <xf numFmtId="0" fontId="49" fillId="27" borderId="10" xfId="0" applyFont="1" applyFill="1" applyBorder="1" applyAlignment="1" applyProtection="1">
      <alignment horizontal="center" vertical="center" shrinkToFit="1"/>
    </xf>
    <xf numFmtId="0" fontId="2" fillId="0" borderId="0" xfId="0" applyFont="1" applyFill="1" applyBorder="1" applyAlignment="1" applyProtection="1">
      <alignment horizontal="right" vertical="center" shrinkToFit="1"/>
    </xf>
    <xf numFmtId="0" fontId="21" fillId="0" borderId="0" xfId="0" applyFont="1" applyFill="1" applyBorder="1" applyAlignment="1" applyProtection="1">
      <alignment vertical="center" shrinkToFit="1"/>
    </xf>
    <xf numFmtId="0" fontId="2" fillId="0" borderId="14" xfId="0" applyFont="1" applyFill="1" applyBorder="1" applyAlignment="1" applyProtection="1">
      <alignment vertical="center" shrinkToFit="1"/>
    </xf>
    <xf numFmtId="0" fontId="2" fillId="0" borderId="18" xfId="0" applyFont="1" applyFill="1" applyBorder="1" applyAlignment="1" applyProtection="1">
      <alignment vertical="center" shrinkToFit="1"/>
    </xf>
    <xf numFmtId="0" fontId="0" fillId="0" borderId="100" xfId="0" applyBorder="1" applyAlignment="1" applyProtection="1">
      <alignment vertical="center"/>
    </xf>
    <xf numFmtId="0" fontId="0" fillId="0" borderId="101" xfId="0" applyFill="1" applyBorder="1" applyAlignment="1" applyProtection="1">
      <alignment horizontal="center" vertical="center" shrinkToFit="1"/>
    </xf>
    <xf numFmtId="0" fontId="23" fillId="0" borderId="0" xfId="0" applyFont="1" applyFill="1" applyBorder="1" applyAlignment="1" applyProtection="1">
      <alignment horizontal="left" vertical="center" shrinkToFit="1"/>
    </xf>
    <xf numFmtId="0" fontId="11" fillId="0" borderId="37" xfId="0" applyFont="1" applyFill="1" applyBorder="1" applyAlignment="1">
      <alignment horizontal="left" vertical="center"/>
    </xf>
    <xf numFmtId="0" fontId="11" fillId="0" borderId="67" xfId="0" applyFont="1" applyFill="1" applyBorder="1" applyAlignment="1">
      <alignment horizontal="left" vertical="center"/>
    </xf>
    <xf numFmtId="0" fontId="11" fillId="0" borderId="0" xfId="0" applyFont="1" applyBorder="1" applyAlignment="1">
      <alignment vertical="center" wrapText="1"/>
    </xf>
    <xf numFmtId="0" fontId="11" fillId="0" borderId="0" xfId="0" applyFont="1" applyFill="1" applyBorder="1" applyAlignment="1">
      <alignment vertical="center" wrapText="1"/>
    </xf>
    <xf numFmtId="184" fontId="2" fillId="27" borderId="102" xfId="0" applyNumberFormat="1" applyFont="1" applyFill="1" applyBorder="1" applyAlignment="1" applyProtection="1">
      <alignment horizontal="left" vertical="center" wrapText="1"/>
      <protection locked="0"/>
    </xf>
    <xf numFmtId="0" fontId="11" fillId="0" borderId="103" xfId="0" applyFont="1" applyFill="1" applyBorder="1" applyAlignment="1">
      <alignment horizontal="left" vertical="center"/>
    </xf>
    <xf numFmtId="0" fontId="51" fillId="0" borderId="0" xfId="0" applyFont="1" applyBorder="1" applyAlignment="1">
      <alignment horizontal="center" vertical="center"/>
    </xf>
    <xf numFmtId="189" fontId="0" fillId="0" borderId="45" xfId="66" applyNumberFormat="1" applyFont="1" applyBorder="1" applyAlignment="1">
      <alignment horizontal="right" vertical="center"/>
    </xf>
    <xf numFmtId="182" fontId="0" fillId="0" borderId="45" xfId="0" applyNumberFormat="1" applyFont="1" applyBorder="1" applyAlignment="1">
      <alignment horizontal="right" vertical="center"/>
    </xf>
    <xf numFmtId="191" fontId="0" fillId="0" borderId="45" xfId="66" applyNumberFormat="1" applyFont="1" applyBorder="1" applyAlignment="1">
      <alignment horizontal="right" vertical="center"/>
    </xf>
    <xf numFmtId="0" fontId="4" fillId="0" borderId="45" xfId="0" applyFont="1" applyBorder="1" applyAlignment="1" applyProtection="1">
      <alignment vertical="center"/>
    </xf>
    <xf numFmtId="56" fontId="4" fillId="0" borderId="45" xfId="0" applyNumberFormat="1" applyFont="1" applyBorder="1" applyAlignment="1" applyProtection="1">
      <alignment vertical="center"/>
    </xf>
    <xf numFmtId="0" fontId="11" fillId="0" borderId="45" xfId="0" applyFont="1" applyBorder="1" applyAlignment="1" applyProtection="1">
      <alignment vertical="center"/>
    </xf>
    <xf numFmtId="190" fontId="13" fillId="0" borderId="45" xfId="0" applyNumberFormat="1" applyFont="1" applyBorder="1" applyAlignment="1" applyProtection="1">
      <alignment vertical="center"/>
    </xf>
    <xf numFmtId="190" fontId="46" fillId="38" borderId="100" xfId="0" applyNumberFormat="1" applyFont="1" applyFill="1" applyBorder="1" applyAlignment="1" applyProtection="1">
      <alignment horizontal="right" vertical="center" shrinkToFit="1"/>
    </xf>
    <xf numFmtId="190" fontId="46" fillId="38" borderId="104" xfId="0" applyNumberFormat="1" applyFont="1" applyFill="1" applyBorder="1" applyAlignment="1" applyProtection="1">
      <alignment horizontal="right" vertical="center" shrinkToFit="1"/>
    </xf>
    <xf numFmtId="0" fontId="23" fillId="0" borderId="64" xfId="0" applyFont="1" applyBorder="1" applyAlignment="1" applyProtection="1">
      <alignment horizontal="right" vertical="center" shrinkToFit="1"/>
    </xf>
    <xf numFmtId="0" fontId="23" fillId="0" borderId="80" xfId="0" applyFont="1" applyFill="1" applyBorder="1" applyAlignment="1" applyProtection="1">
      <alignment horizontal="left" vertical="center" shrinkToFit="1"/>
    </xf>
    <xf numFmtId="0" fontId="11" fillId="0" borderId="105" xfId="0" applyFont="1" applyBorder="1" applyAlignment="1" applyProtection="1">
      <alignment horizontal="right" vertical="center"/>
    </xf>
    <xf numFmtId="0" fontId="2" fillId="0" borderId="106" xfId="0" applyFont="1" applyFill="1" applyBorder="1" applyAlignment="1" applyProtection="1">
      <alignment horizontal="right" vertical="center" shrinkToFit="1"/>
    </xf>
    <xf numFmtId="0" fontId="0" fillId="0" borderId="95" xfId="0" applyBorder="1" applyAlignment="1" applyProtection="1">
      <alignment vertical="center"/>
    </xf>
    <xf numFmtId="0" fontId="5" fillId="27" borderId="37" xfId="0" applyFont="1" applyFill="1" applyBorder="1" applyAlignment="1" applyProtection="1">
      <alignment vertical="center"/>
    </xf>
    <xf numFmtId="0" fontId="5" fillId="27" borderId="37" xfId="0" applyFont="1" applyFill="1" applyBorder="1" applyAlignment="1" applyProtection="1">
      <alignment vertical="center" shrinkToFit="1"/>
    </xf>
    <xf numFmtId="0" fontId="0" fillId="0" borderId="37" xfId="0" applyFill="1" applyBorder="1" applyAlignment="1" applyProtection="1">
      <alignment vertical="center" shrinkToFit="1"/>
    </xf>
    <xf numFmtId="186" fontId="49" fillId="27" borderId="37" xfId="0" applyNumberFormat="1" applyFont="1" applyFill="1" applyBorder="1" applyAlignment="1" applyProtection="1">
      <alignment horizontal="center" vertical="center" shrinkToFit="1"/>
    </xf>
    <xf numFmtId="183" fontId="2" fillId="27" borderId="37" xfId="0" applyNumberFormat="1" applyFont="1" applyFill="1" applyBorder="1" applyAlignment="1" applyProtection="1">
      <alignment horizontal="center" vertical="center" shrinkToFit="1"/>
    </xf>
    <xf numFmtId="176" fontId="2" fillId="0" borderId="107" xfId="0" applyNumberFormat="1" applyFont="1" applyBorder="1" applyAlignment="1" applyProtection="1">
      <alignment horizontal="center" vertical="center" shrinkToFit="1"/>
    </xf>
    <xf numFmtId="0" fontId="2" fillId="0" borderId="108" xfId="0" applyFont="1" applyFill="1" applyBorder="1" applyAlignment="1" applyProtection="1">
      <alignment vertical="center" shrinkToFit="1"/>
    </xf>
    <xf numFmtId="0" fontId="41" fillId="27" borderId="37" xfId="0" applyFont="1" applyFill="1" applyBorder="1" applyAlignment="1" applyProtection="1">
      <alignment vertical="center" shrinkToFit="1"/>
    </xf>
    <xf numFmtId="0" fontId="2" fillId="0" borderId="37" xfId="0" applyFont="1" applyFill="1" applyBorder="1" applyAlignment="1" applyProtection="1">
      <alignment vertical="center" shrinkToFit="1"/>
    </xf>
    <xf numFmtId="0" fontId="2" fillId="0" borderId="107" xfId="0" applyFont="1" applyFill="1" applyBorder="1" applyAlignment="1" applyProtection="1">
      <alignment vertical="center" shrinkToFit="1"/>
    </xf>
    <xf numFmtId="0" fontId="2" fillId="0" borderId="105" xfId="0" applyFont="1" applyFill="1" applyBorder="1" applyAlignment="1" applyProtection="1">
      <alignment horizontal="right" vertical="center" shrinkToFit="1"/>
    </xf>
    <xf numFmtId="0" fontId="11" fillId="0" borderId="46" xfId="0" applyFont="1" applyBorder="1" applyAlignment="1" applyProtection="1">
      <alignment horizontal="right" vertical="center"/>
    </xf>
    <xf numFmtId="0" fontId="23" fillId="0" borderId="105" xfId="0" applyFont="1" applyFill="1" applyBorder="1" applyAlignment="1" applyProtection="1">
      <alignment horizontal="right" vertical="center" shrinkToFit="1"/>
    </xf>
    <xf numFmtId="0" fontId="23" fillId="0" borderId="46" xfId="0" applyFont="1" applyFill="1" applyBorder="1" applyAlignment="1" applyProtection="1">
      <alignment horizontal="right" vertical="center" shrinkToFit="1"/>
    </xf>
    <xf numFmtId="0" fontId="23" fillId="0" borderId="109" xfId="0" applyFont="1" applyFill="1" applyBorder="1" applyAlignment="1" applyProtection="1">
      <alignment horizontal="right" vertical="center" shrinkToFit="1"/>
    </xf>
    <xf numFmtId="0" fontId="23" fillId="0" borderId="101" xfId="0" applyFont="1" applyFill="1" applyBorder="1" applyAlignment="1" applyProtection="1">
      <alignment horizontal="right" vertical="center" shrinkToFit="1"/>
    </xf>
    <xf numFmtId="0" fontId="0" fillId="0" borderId="110" xfId="0" applyFill="1" applyBorder="1" applyAlignment="1" applyProtection="1">
      <alignment horizontal="right" vertical="center" shrinkToFit="1"/>
    </xf>
    <xf numFmtId="0" fontId="0" fillId="0" borderId="105" xfId="0" applyFill="1" applyBorder="1" applyAlignment="1" applyProtection="1">
      <alignment horizontal="right" vertical="center" shrinkToFit="1"/>
    </xf>
    <xf numFmtId="0" fontId="0" fillId="0" borderId="105" xfId="0" applyBorder="1" applyAlignment="1" applyProtection="1">
      <alignment horizontal="right" vertical="center" shrinkToFit="1"/>
    </xf>
    <xf numFmtId="0" fontId="2" fillId="0" borderId="105" xfId="0" applyFont="1" applyBorder="1" applyAlignment="1" applyProtection="1">
      <alignment horizontal="right" vertical="center" shrinkToFit="1"/>
    </xf>
    <xf numFmtId="0" fontId="0" fillId="0" borderId="47" xfId="0" applyFill="1" applyBorder="1" applyAlignment="1" applyProtection="1">
      <alignment horizontal="right" vertical="center" shrinkToFit="1"/>
    </xf>
    <xf numFmtId="0" fontId="2" fillId="0" borderId="48" xfId="0" applyFont="1" applyFill="1" applyBorder="1" applyAlignment="1" applyProtection="1">
      <alignment horizontal="right" vertical="center" shrinkToFit="1"/>
    </xf>
    <xf numFmtId="0" fontId="2" fillId="0" borderId="110" xfId="0" applyFont="1" applyFill="1" applyBorder="1" applyAlignment="1" applyProtection="1">
      <alignment horizontal="right" vertical="center" shrinkToFit="1"/>
    </xf>
    <xf numFmtId="0" fontId="4" fillId="0" borderId="109" xfId="0" applyFont="1" applyBorder="1" applyAlignment="1" applyProtection="1">
      <alignment horizontal="right" vertical="center"/>
    </xf>
    <xf numFmtId="0" fontId="4" fillId="0" borderId="46" xfId="0" applyFont="1" applyBorder="1" applyAlignment="1" applyProtection="1">
      <alignment horizontal="right" vertical="center"/>
    </xf>
    <xf numFmtId="0" fontId="0" fillId="0" borderId="111" xfId="0" applyBorder="1" applyAlignment="1" applyProtection="1">
      <alignment vertical="center"/>
    </xf>
    <xf numFmtId="0" fontId="5" fillId="27" borderId="12" xfId="0" applyFont="1" applyFill="1" applyBorder="1" applyAlignment="1" applyProtection="1">
      <alignment vertical="center" shrinkToFit="1"/>
    </xf>
    <xf numFmtId="0" fontId="49" fillId="27" borderId="12" xfId="0" applyFont="1" applyFill="1" applyBorder="1" applyAlignment="1" applyProtection="1">
      <alignment horizontal="center" vertical="center" shrinkToFit="1"/>
    </xf>
    <xf numFmtId="0" fontId="5" fillId="27" borderId="67" xfId="0" applyFont="1" applyFill="1" applyBorder="1" applyAlignment="1" applyProtection="1">
      <alignment vertical="center"/>
    </xf>
    <xf numFmtId="0" fontId="2" fillId="27" borderId="64" xfId="0" applyFont="1" applyFill="1" applyBorder="1" applyAlignment="1" applyProtection="1">
      <alignment horizontal="right" vertical="center" shrinkToFit="1"/>
    </xf>
    <xf numFmtId="0" fontId="2" fillId="0" borderId="97" xfId="0" applyFont="1" applyFill="1" applyBorder="1" applyAlignment="1" applyProtection="1">
      <alignment vertical="center" shrinkToFit="1"/>
    </xf>
    <xf numFmtId="186" fontId="41" fillId="27" borderId="10" xfId="0" applyNumberFormat="1" applyFont="1" applyFill="1" applyBorder="1" applyAlignment="1" applyProtection="1">
      <alignment horizontal="center" vertical="center" shrinkToFit="1"/>
    </xf>
    <xf numFmtId="183" fontId="2" fillId="27" borderId="11" xfId="0" applyNumberFormat="1" applyFont="1" applyFill="1" applyBorder="1" applyAlignment="1" applyProtection="1">
      <alignment horizontal="center" vertical="center" shrinkToFit="1"/>
    </xf>
    <xf numFmtId="176" fontId="2" fillId="0" borderId="18" xfId="0" applyNumberFormat="1" applyFont="1" applyBorder="1" applyAlignment="1" applyProtection="1">
      <alignment horizontal="center" vertical="center" shrinkToFit="1"/>
    </xf>
    <xf numFmtId="0" fontId="39" fillId="27" borderId="64" xfId="0" applyFont="1" applyFill="1" applyBorder="1" applyAlignment="1" applyProtection="1">
      <alignment horizontal="left" vertical="center" shrinkToFit="1"/>
    </xf>
    <xf numFmtId="177" fontId="11" fillId="0" borderId="0" xfId="0" applyNumberFormat="1" applyFont="1" applyBorder="1" applyAlignment="1" applyProtection="1">
      <alignment horizontal="center" vertical="center"/>
    </xf>
    <xf numFmtId="186" fontId="41" fillId="27" borderId="76" xfId="66" applyNumberFormat="1" applyFont="1" applyFill="1" applyBorder="1" applyAlignment="1" applyProtection="1">
      <alignment horizontal="right" vertical="center" indent="1" shrinkToFit="1"/>
    </xf>
    <xf numFmtId="0" fontId="4" fillId="0" borderId="112" xfId="0" applyFont="1" applyBorder="1" applyAlignment="1" applyProtection="1">
      <alignment vertical="center"/>
    </xf>
    <xf numFmtId="0" fontId="11" fillId="0" borderId="59" xfId="0" applyFont="1" applyBorder="1" applyAlignment="1" applyProtection="1">
      <alignment horizontal="right" vertical="center"/>
    </xf>
    <xf numFmtId="191" fontId="44" fillId="27" borderId="63" xfId="0" applyNumberFormat="1" applyFont="1" applyFill="1" applyBorder="1" applyAlignment="1" applyProtection="1">
      <alignment horizontal="center" vertical="center" shrinkToFit="1"/>
    </xf>
    <xf numFmtId="182" fontId="44" fillId="27" borderId="113" xfId="0" applyNumberFormat="1" applyFont="1" applyFill="1" applyBorder="1" applyAlignment="1" applyProtection="1">
      <alignment horizontal="center" vertical="center" shrinkToFit="1"/>
    </xf>
    <xf numFmtId="186" fontId="71" fillId="0" borderId="114" xfId="66" applyNumberFormat="1" applyFont="1" applyFill="1" applyBorder="1" applyAlignment="1" applyProtection="1">
      <alignment horizontal="right" vertical="center" indent="1" shrinkToFit="1"/>
    </xf>
    <xf numFmtId="0" fontId="4" fillId="0" borderId="0" xfId="0" applyFont="1" applyBorder="1" applyAlignment="1" applyProtection="1">
      <alignment vertical="center" wrapText="1"/>
    </xf>
    <xf numFmtId="179" fontId="72" fillId="0" borderId="20" xfId="0" applyNumberFormat="1" applyFont="1" applyFill="1" applyBorder="1" applyAlignment="1" applyProtection="1">
      <alignment horizontal="left" vertical="center" wrapText="1"/>
    </xf>
    <xf numFmtId="0" fontId="4" fillId="0" borderId="115" xfId="0" applyFont="1" applyBorder="1" applyAlignment="1" applyProtection="1">
      <alignment vertical="center" wrapText="1"/>
    </xf>
    <xf numFmtId="0" fontId="4" fillId="0" borderId="19" xfId="0" applyFont="1" applyBorder="1" applyAlignment="1" applyProtection="1">
      <alignment vertical="center" wrapText="1"/>
    </xf>
    <xf numFmtId="178" fontId="72" fillId="0" borderId="15" xfId="0" applyNumberFormat="1" applyFont="1" applyFill="1" applyBorder="1" applyAlignment="1" applyProtection="1">
      <alignment horizontal="left" vertical="center" wrapText="1"/>
    </xf>
    <xf numFmtId="178" fontId="2" fillId="0" borderId="0" xfId="0" applyNumberFormat="1" applyFont="1" applyFill="1" applyBorder="1" applyAlignment="1" applyProtection="1">
      <alignment horizontal="left" vertical="center" wrapText="1"/>
    </xf>
    <xf numFmtId="0" fontId="11" fillId="0" borderId="105" xfId="0" applyFont="1" applyBorder="1" applyAlignment="1" applyProtection="1">
      <alignment horizontal="left" vertical="center" wrapText="1"/>
    </xf>
    <xf numFmtId="0" fontId="11" fillId="0" borderId="105" xfId="0" applyFont="1" applyBorder="1" applyAlignment="1" applyProtection="1">
      <alignment horizontal="left" vertical="center"/>
    </xf>
    <xf numFmtId="0" fontId="2" fillId="0" borderId="0" xfId="66" applyNumberFormat="1" applyFill="1" applyBorder="1" applyAlignment="1" applyProtection="1">
      <alignment vertical="center"/>
    </xf>
    <xf numFmtId="0" fontId="4" fillId="0" borderId="0" xfId="0" applyFont="1" applyFill="1" applyBorder="1" applyAlignment="1" applyProtection="1">
      <alignment vertical="center" wrapText="1"/>
    </xf>
    <xf numFmtId="0" fontId="4" fillId="0" borderId="13" xfId="0" applyFont="1" applyBorder="1" applyAlignment="1" applyProtection="1">
      <alignment vertical="center" wrapText="1"/>
    </xf>
    <xf numFmtId="178" fontId="72" fillId="0" borderId="92" xfId="0" applyNumberFormat="1" applyFont="1" applyFill="1" applyBorder="1" applyAlignment="1" applyProtection="1">
      <alignment horizontal="left" vertical="center" wrapText="1"/>
    </xf>
    <xf numFmtId="0" fontId="41" fillId="0" borderId="80" xfId="0" applyFont="1" applyFill="1" applyBorder="1" applyAlignment="1" applyProtection="1">
      <alignment vertical="center" shrinkToFit="1"/>
    </xf>
    <xf numFmtId="0" fontId="5" fillId="27" borderId="37" xfId="0" applyNumberFormat="1" applyFont="1" applyFill="1" applyBorder="1" applyAlignment="1" applyProtection="1">
      <alignment vertical="center" shrinkToFit="1"/>
    </xf>
    <xf numFmtId="0" fontId="4" fillId="0" borderId="35" xfId="0" applyFont="1" applyBorder="1" applyAlignment="1" applyProtection="1">
      <alignment horizontal="center" vertical="center"/>
    </xf>
    <xf numFmtId="0" fontId="4" fillId="0" borderId="43" xfId="0" applyFont="1" applyBorder="1" applyAlignment="1" applyProtection="1">
      <alignment horizontal="center" vertical="center"/>
    </xf>
    <xf numFmtId="0" fontId="11" fillId="0" borderId="116" xfId="0" applyFont="1" applyBorder="1" applyAlignment="1" applyProtection="1">
      <alignment horizontal="right" vertical="center"/>
    </xf>
    <xf numFmtId="0" fontId="4" fillId="0" borderId="117" xfId="0" applyFont="1" applyBorder="1" applyAlignment="1" applyProtection="1">
      <alignment vertical="center"/>
    </xf>
    <xf numFmtId="0" fontId="11" fillId="0" borderId="110" xfId="0" applyFont="1" applyBorder="1" applyAlignment="1" applyProtection="1">
      <alignment horizontal="left" vertical="center"/>
    </xf>
    <xf numFmtId="0" fontId="2" fillId="0" borderId="51" xfId="0" applyFont="1" applyFill="1" applyBorder="1" applyAlignment="1" applyProtection="1">
      <alignment horizontal="left" vertical="center" shrinkToFit="1"/>
    </xf>
    <xf numFmtId="0" fontId="23" fillId="0" borderId="110" xfId="0" applyFont="1" applyFill="1" applyBorder="1" applyAlignment="1" applyProtection="1">
      <alignment horizontal="right" vertical="center" shrinkToFit="1"/>
    </xf>
    <xf numFmtId="188" fontId="33" fillId="0" borderId="118" xfId="0" applyNumberFormat="1" applyFont="1" applyFill="1" applyBorder="1" applyAlignment="1" applyProtection="1">
      <alignment vertical="center" shrinkToFit="1"/>
    </xf>
    <xf numFmtId="188" fontId="33" fillId="0" borderId="0" xfId="0" applyNumberFormat="1" applyFont="1" applyFill="1" applyBorder="1" applyAlignment="1" applyProtection="1">
      <alignment vertical="center" shrinkToFit="1"/>
    </xf>
    <xf numFmtId="188" fontId="33" fillId="0" borderId="64" xfId="0" applyNumberFormat="1" applyFont="1" applyFill="1" applyBorder="1" applyAlignment="1" applyProtection="1">
      <alignment vertical="center" shrinkToFit="1"/>
    </xf>
    <xf numFmtId="0" fontId="11" fillId="0" borderId="119" xfId="0" applyFont="1" applyBorder="1" applyAlignment="1" applyProtection="1">
      <alignment horizontal="center" vertical="center"/>
    </xf>
    <xf numFmtId="0" fontId="11" fillId="0" borderId="67" xfId="0" applyFont="1" applyBorder="1" applyAlignment="1" applyProtection="1">
      <alignment horizontal="center" vertical="center"/>
    </xf>
    <xf numFmtId="0" fontId="11" fillId="0" borderId="96" xfId="0" applyFont="1" applyBorder="1" applyAlignment="1" applyProtection="1">
      <alignment horizontal="center" vertical="center"/>
    </xf>
    <xf numFmtId="177" fontId="33" fillId="0" borderId="119" xfId="0" applyNumberFormat="1" applyFont="1" applyFill="1" applyBorder="1" applyAlignment="1" applyProtection="1">
      <alignment horizontal="center" vertical="center" shrinkToFit="1"/>
    </xf>
    <xf numFmtId="177" fontId="33" fillId="0" borderId="67" xfId="0" applyNumberFormat="1" applyFont="1" applyFill="1" applyBorder="1" applyAlignment="1" applyProtection="1">
      <alignment horizontal="center" vertical="center" shrinkToFit="1"/>
    </xf>
    <xf numFmtId="0" fontId="23" fillId="0" borderId="119" xfId="0" applyFont="1" applyFill="1" applyBorder="1" applyAlignment="1" applyProtection="1">
      <alignment horizontal="left" vertical="center" shrinkToFit="1"/>
    </xf>
    <xf numFmtId="0" fontId="23" fillId="0" borderId="67" xfId="0" applyFont="1" applyFill="1" applyBorder="1" applyAlignment="1" applyProtection="1">
      <alignment horizontal="left" vertical="center" shrinkToFit="1"/>
    </xf>
    <xf numFmtId="0" fontId="23" fillId="0" borderId="96" xfId="0" applyFont="1" applyFill="1" applyBorder="1" applyAlignment="1" applyProtection="1">
      <alignment horizontal="left" vertical="center" shrinkToFit="1"/>
    </xf>
    <xf numFmtId="0" fontId="0" fillId="0" borderId="120" xfId="0" applyFill="1" applyBorder="1" applyAlignment="1" applyProtection="1">
      <alignment horizontal="center" vertical="center" shrinkToFit="1"/>
    </xf>
    <xf numFmtId="0" fontId="2" fillId="0" borderId="121" xfId="0" applyFont="1" applyFill="1" applyBorder="1" applyAlignment="1" applyProtection="1">
      <alignment vertical="center" shrinkToFit="1"/>
    </xf>
    <xf numFmtId="0" fontId="2" fillId="0" borderId="122" xfId="0" applyFont="1" applyFill="1" applyBorder="1" applyAlignment="1" applyProtection="1">
      <alignment vertical="center" shrinkToFit="1"/>
    </xf>
    <xf numFmtId="0" fontId="4" fillId="0" borderId="105" xfId="0" applyFont="1" applyBorder="1" applyAlignment="1" applyProtection="1">
      <alignment horizontal="left" vertical="center"/>
    </xf>
    <xf numFmtId="0" fontId="4" fillId="0" borderId="47" xfId="0" applyFont="1" applyBorder="1" applyAlignment="1" applyProtection="1">
      <alignment vertical="center"/>
    </xf>
    <xf numFmtId="0" fontId="2" fillId="0" borderId="105" xfId="0" applyFont="1" applyFill="1" applyBorder="1" applyAlignment="1" applyProtection="1">
      <alignment vertical="center" shrinkToFit="1"/>
    </xf>
    <xf numFmtId="0" fontId="23" fillId="0" borderId="0" xfId="0" applyFont="1" applyBorder="1" applyAlignment="1" applyProtection="1">
      <alignment horizontal="right" vertical="center" shrinkToFit="1"/>
    </xf>
    <xf numFmtId="0" fontId="23" fillId="0" borderId="17" xfId="0" applyFont="1" applyBorder="1" applyAlignment="1" applyProtection="1">
      <alignment horizontal="right" vertical="center" shrinkToFit="1"/>
    </xf>
    <xf numFmtId="0" fontId="41" fillId="0" borderId="83" xfId="0" applyFont="1" applyFill="1" applyBorder="1" applyAlignment="1" applyProtection="1">
      <alignment vertical="center" shrinkToFit="1"/>
    </xf>
    <xf numFmtId="0" fontId="4" fillId="0" borderId="123" xfId="0" applyFont="1" applyBorder="1" applyAlignment="1" applyProtection="1">
      <alignment vertical="center" wrapText="1"/>
    </xf>
    <xf numFmtId="179" fontId="72" fillId="0" borderId="124" xfId="0" applyNumberFormat="1" applyFont="1" applyFill="1" applyBorder="1" applyAlignment="1" applyProtection="1">
      <alignment horizontal="left" vertical="center" wrapText="1"/>
    </xf>
    <xf numFmtId="0" fontId="11" fillId="0" borderId="125" xfId="0" applyFont="1" applyBorder="1" applyAlignment="1" applyProtection="1">
      <alignment horizontal="center" vertical="center"/>
    </xf>
    <xf numFmtId="177" fontId="33" fillId="0" borderId="125" xfId="0" applyNumberFormat="1" applyFont="1" applyFill="1" applyBorder="1" applyAlignment="1" applyProtection="1">
      <alignment horizontal="center" vertical="center" shrinkToFit="1"/>
    </xf>
    <xf numFmtId="0" fontId="41" fillId="0" borderId="126" xfId="0" applyFont="1" applyBorder="1" applyAlignment="1" applyProtection="1">
      <alignment vertical="center"/>
    </xf>
    <xf numFmtId="0" fontId="2" fillId="0" borderId="77" xfId="0" applyNumberFormat="1" applyFont="1" applyFill="1" applyBorder="1" applyAlignment="1" applyProtection="1">
      <alignment horizontal="left" vertical="center" shrinkToFit="1"/>
    </xf>
    <xf numFmtId="178" fontId="2" fillId="0" borderId="80" xfId="0" applyNumberFormat="1" applyFont="1" applyFill="1" applyBorder="1" applyAlignment="1" applyProtection="1">
      <alignment horizontal="left" vertical="center" wrapText="1"/>
    </xf>
    <xf numFmtId="179" fontId="2" fillId="0" borderId="80" xfId="0" applyNumberFormat="1" applyFont="1" applyFill="1" applyBorder="1" applyAlignment="1" applyProtection="1">
      <alignment horizontal="left" vertical="center" wrapText="1"/>
    </xf>
    <xf numFmtId="187" fontId="35" fillId="0" borderId="124" xfId="0" applyNumberFormat="1" applyFont="1" applyFill="1" applyBorder="1" applyAlignment="1" applyProtection="1">
      <alignment vertical="center" shrinkToFit="1"/>
    </xf>
    <xf numFmtId="0" fontId="33" fillId="0" borderId="0" xfId="0" applyFont="1" applyBorder="1" applyAlignment="1" applyProtection="1">
      <alignment vertical="center"/>
    </xf>
    <xf numFmtId="0" fontId="4" fillId="0" borderId="127" xfId="0" applyFont="1" applyBorder="1" applyAlignment="1" applyProtection="1">
      <alignment vertical="center"/>
    </xf>
    <xf numFmtId="49" fontId="0" fillId="27" borderId="119" xfId="0" applyNumberFormat="1" applyFill="1" applyBorder="1" applyAlignment="1" applyProtection="1">
      <alignment vertical="center"/>
    </xf>
    <xf numFmtId="0" fontId="0" fillId="0" borderId="0" xfId="0" applyFill="1" applyBorder="1" applyAlignment="1" applyProtection="1">
      <alignment vertical="center" shrinkToFit="1"/>
    </xf>
    <xf numFmtId="0" fontId="0" fillId="0" borderId="12" xfId="0" applyFill="1" applyBorder="1" applyAlignment="1" applyProtection="1">
      <alignment vertical="center" shrinkToFit="1"/>
    </xf>
    <xf numFmtId="0" fontId="0" fillId="0" borderId="128" xfId="0" applyFill="1" applyBorder="1" applyAlignment="1" applyProtection="1">
      <alignment horizontal="center" vertical="center" shrinkToFit="1"/>
    </xf>
    <xf numFmtId="0" fontId="0" fillId="0" borderId="65" xfId="0" applyFill="1" applyBorder="1" applyAlignment="1" applyProtection="1">
      <alignment horizontal="center" vertical="center" shrinkToFit="1"/>
    </xf>
    <xf numFmtId="0" fontId="41" fillId="0" borderId="0" xfId="0" applyFont="1" applyFill="1" applyBorder="1" applyAlignment="1" applyProtection="1">
      <alignment vertical="center" shrinkToFit="1"/>
    </xf>
    <xf numFmtId="0" fontId="11" fillId="0" borderId="0" xfId="0" applyFont="1" applyBorder="1" applyAlignment="1" applyProtection="1">
      <alignment horizontal="right" vertical="center"/>
    </xf>
    <xf numFmtId="0" fontId="11" fillId="0" borderId="0" xfId="0" applyFont="1" applyFill="1" applyBorder="1" applyAlignment="1" applyProtection="1">
      <alignment vertical="center"/>
    </xf>
    <xf numFmtId="186" fontId="41" fillId="0" borderId="0" xfId="66" applyNumberFormat="1" applyFont="1" applyFill="1" applyBorder="1" applyAlignment="1" applyProtection="1">
      <alignment horizontal="right" vertical="center" indent="1"/>
    </xf>
    <xf numFmtId="0" fontId="5" fillId="39" borderId="10" xfId="0" applyFont="1" applyFill="1" applyBorder="1" applyAlignment="1" applyProtection="1">
      <alignment horizontal="center" vertical="center" shrinkToFit="1"/>
    </xf>
    <xf numFmtId="0" fontId="20" fillId="0" borderId="114" xfId="0" applyFont="1" applyBorder="1" applyAlignment="1" applyProtection="1">
      <alignment vertical="center"/>
    </xf>
    <xf numFmtId="0" fontId="5" fillId="39" borderId="12" xfId="0" applyFont="1" applyFill="1" applyBorder="1" applyAlignment="1" applyProtection="1">
      <alignment horizontal="center" vertical="center" shrinkToFit="1"/>
    </xf>
    <xf numFmtId="186" fontId="48" fillId="40" borderId="129" xfId="0" applyNumberFormat="1" applyFont="1" applyFill="1" applyBorder="1" applyAlignment="1" applyProtection="1">
      <alignment vertical="center"/>
      <protection locked="0"/>
    </xf>
    <xf numFmtId="0" fontId="11" fillId="0" borderId="0" xfId="0" applyFont="1" applyFill="1" applyBorder="1" applyAlignment="1">
      <alignment vertical="center"/>
    </xf>
    <xf numFmtId="0" fontId="67" fillId="0" borderId="0" xfId="0" applyFont="1" applyFill="1" applyBorder="1" applyAlignment="1">
      <alignment vertical="center" shrinkToFit="1"/>
    </xf>
    <xf numFmtId="179" fontId="2" fillId="0" borderId="74" xfId="0" applyNumberFormat="1" applyFont="1" applyFill="1" applyBorder="1" applyAlignment="1" applyProtection="1">
      <alignment horizontal="left" vertical="center" shrinkToFit="1"/>
      <protection locked="0"/>
    </xf>
    <xf numFmtId="179" fontId="2" fillId="0" borderId="40" xfId="0" applyNumberFormat="1" applyFont="1" applyFill="1" applyBorder="1" applyAlignment="1" applyProtection="1">
      <alignment horizontal="left" vertical="center" shrinkToFit="1"/>
      <protection locked="0"/>
    </xf>
    <xf numFmtId="0" fontId="11" fillId="0" borderId="0" xfId="0" applyFont="1" applyFill="1" applyBorder="1" applyAlignment="1">
      <alignment horizontal="left" vertical="center"/>
    </xf>
    <xf numFmtId="0" fontId="0" fillId="0" borderId="0" xfId="0" applyAlignment="1">
      <alignment vertical="center"/>
    </xf>
    <xf numFmtId="0" fontId="0" fillId="35" borderId="0" xfId="0" applyFill="1" applyBorder="1" applyAlignment="1">
      <alignment vertical="center"/>
    </xf>
    <xf numFmtId="0" fontId="4" fillId="0" borderId="98" xfId="0" applyFont="1" applyBorder="1" applyAlignment="1" applyProtection="1">
      <alignment horizontal="center" vertical="center"/>
    </xf>
    <xf numFmtId="0" fontId="0" fillId="0" borderId="28" xfId="0" applyBorder="1" applyAlignment="1">
      <alignment horizontal="center" vertical="center"/>
    </xf>
    <xf numFmtId="0" fontId="15" fillId="0" borderId="28" xfId="0" applyFont="1" applyBorder="1" applyAlignment="1">
      <alignment horizontal="center" vertical="center" wrapText="1"/>
    </xf>
    <xf numFmtId="0" fontId="51" fillId="0" borderId="44" xfId="0" applyFont="1" applyBorder="1" applyAlignment="1">
      <alignment vertical="center" justifyLastLine="1"/>
    </xf>
    <xf numFmtId="0" fontId="79" fillId="0" borderId="0" xfId="0" applyFont="1">
      <alignment vertical="center"/>
    </xf>
    <xf numFmtId="177" fontId="28" fillId="0" borderId="0" xfId="0" applyNumberFormat="1" applyFont="1" applyAlignment="1">
      <alignment horizontal="left" vertical="center"/>
    </xf>
    <xf numFmtId="0" fontId="28" fillId="0" borderId="0" xfId="0" applyFont="1" applyAlignment="1">
      <alignment vertical="center"/>
    </xf>
    <xf numFmtId="0" fontId="74" fillId="0" borderId="0" xfId="0" applyFont="1">
      <alignment vertical="center"/>
    </xf>
    <xf numFmtId="0" fontId="74" fillId="0" borderId="0" xfId="0" applyFont="1" applyAlignment="1">
      <alignment horizontal="right" vertical="center"/>
    </xf>
    <xf numFmtId="49" fontId="74" fillId="0" borderId="0" xfId="0" applyNumberFormat="1" applyFont="1" applyAlignment="1">
      <alignment horizontal="right" vertical="center"/>
    </xf>
    <xf numFmtId="0" fontId="28" fillId="0" borderId="0" xfId="0" applyFont="1" applyAlignment="1">
      <alignment horizontal="right" vertical="center"/>
    </xf>
    <xf numFmtId="187" fontId="28" fillId="0" borderId="0" xfId="0" applyNumberFormat="1" applyFont="1" applyAlignment="1">
      <alignment horizontal="center" vertical="center"/>
    </xf>
    <xf numFmtId="0" fontId="79" fillId="0" borderId="45" xfId="0" applyFont="1" applyBorder="1" applyAlignment="1">
      <alignment horizontal="distributed" vertical="center" justifyLastLine="1"/>
    </xf>
    <xf numFmtId="0" fontId="0" fillId="0" borderId="45" xfId="0" applyFont="1" applyBorder="1" applyAlignment="1">
      <alignment horizontal="center" vertical="center"/>
    </xf>
    <xf numFmtId="0" fontId="79" fillId="0" borderId="35" xfId="0" applyFont="1" applyBorder="1" applyAlignment="1">
      <alignment horizontal="distributed" vertical="center" indent="2"/>
    </xf>
    <xf numFmtId="0" fontId="0" fillId="0" borderId="44" xfId="0" applyFont="1" applyBorder="1" applyAlignment="1">
      <alignment horizontal="center" vertical="center" wrapText="1"/>
    </xf>
    <xf numFmtId="182" fontId="0" fillId="0" borderId="44" xfId="0" applyNumberFormat="1" applyFont="1" applyBorder="1" applyAlignment="1">
      <alignment horizontal="right" vertical="center"/>
    </xf>
    <xf numFmtId="0" fontId="0" fillId="0" borderId="44" xfId="0" applyFont="1" applyBorder="1" applyAlignment="1">
      <alignment horizontal="center" vertical="center"/>
    </xf>
    <xf numFmtId="191" fontId="0" fillId="0" borderId="44" xfId="66" applyNumberFormat="1" applyFont="1" applyBorder="1" applyAlignment="1">
      <alignment horizontal="right" vertical="center"/>
    </xf>
    <xf numFmtId="0" fontId="15" fillId="0" borderId="45" xfId="0" applyFont="1" applyBorder="1" applyAlignment="1">
      <alignment horizontal="center" vertical="center" wrapText="1"/>
    </xf>
    <xf numFmtId="177" fontId="11" fillId="0" borderId="0" xfId="0" applyNumberFormat="1" applyFont="1" applyBorder="1" applyAlignment="1" applyProtection="1">
      <alignment vertical="center"/>
    </xf>
    <xf numFmtId="0" fontId="0" fillId="0" borderId="67" xfId="0" applyFill="1" applyBorder="1" applyAlignment="1" applyProtection="1">
      <alignment vertical="center" shrinkToFit="1"/>
    </xf>
    <xf numFmtId="0" fontId="41" fillId="27" borderId="67" xfId="0" applyFont="1" applyFill="1" applyBorder="1" applyAlignment="1" applyProtection="1">
      <alignment vertical="center" shrinkToFit="1"/>
    </xf>
    <xf numFmtId="0" fontId="41" fillId="27" borderId="67" xfId="0" applyFont="1" applyFill="1" applyBorder="1" applyAlignment="1" applyProtection="1">
      <alignment horizontal="right" vertical="center" shrinkToFit="1"/>
    </xf>
    <xf numFmtId="0" fontId="41" fillId="27" borderId="12" xfId="0" applyFont="1" applyFill="1" applyBorder="1" applyAlignment="1" applyProtection="1">
      <alignment vertical="center" shrinkToFit="1"/>
    </xf>
    <xf numFmtId="0" fontId="41" fillId="27" borderId="12" xfId="0" applyFont="1" applyFill="1" applyBorder="1" applyAlignment="1" applyProtection="1">
      <alignment horizontal="right" vertical="center" shrinkToFit="1"/>
    </xf>
    <xf numFmtId="0" fontId="49" fillId="27" borderId="37" xfId="0" applyNumberFormat="1" applyFont="1" applyFill="1" applyBorder="1" applyAlignment="1" applyProtection="1">
      <alignment horizontal="center" vertical="center" shrinkToFit="1"/>
    </xf>
    <xf numFmtId="0" fontId="2" fillId="0" borderId="81" xfId="0" applyFont="1" applyFill="1" applyBorder="1" applyAlignment="1">
      <alignment vertical="top" wrapText="1"/>
    </xf>
    <xf numFmtId="0" fontId="74" fillId="0" borderId="86" xfId="0" applyFont="1" applyFill="1" applyBorder="1" applyAlignment="1">
      <alignment vertical="top" wrapText="1"/>
    </xf>
    <xf numFmtId="38" fontId="2" fillId="0" borderId="91" xfId="66" applyFont="1" applyFill="1" applyBorder="1" applyAlignment="1">
      <alignment horizontal="center"/>
    </xf>
    <xf numFmtId="38" fontId="2" fillId="0" borderId="92" xfId="66" applyFont="1" applyFill="1" applyBorder="1" applyAlignment="1">
      <alignment horizontal="center"/>
    </xf>
    <xf numFmtId="38" fontId="2" fillId="0" borderId="13" xfId="66" applyFont="1" applyFill="1" applyBorder="1" applyAlignment="1"/>
    <xf numFmtId="38" fontId="2" fillId="0" borderId="25" xfId="66" applyFont="1" applyFill="1" applyBorder="1" applyAlignment="1"/>
    <xf numFmtId="38" fontId="2" fillId="0" borderId="92" xfId="66" applyFont="1" applyFill="1" applyBorder="1" applyAlignment="1"/>
    <xf numFmtId="38" fontId="2" fillId="0" borderId="86" xfId="66" applyFont="1" applyFill="1" applyBorder="1" applyAlignment="1"/>
    <xf numFmtId="0" fontId="2" fillId="0" borderId="0" xfId="92" applyBorder="1"/>
    <xf numFmtId="0" fontId="2" fillId="0" borderId="56" xfId="92" applyBorder="1"/>
    <xf numFmtId="0" fontId="2" fillId="0" borderId="57" xfId="0" applyFont="1" applyFill="1" applyBorder="1" applyAlignment="1">
      <alignment horizontal="left"/>
    </xf>
    <xf numFmtId="0" fontId="2" fillId="0" borderId="93" xfId="0" applyFont="1" applyFill="1" applyBorder="1" applyAlignment="1">
      <alignment horizontal="left"/>
    </xf>
    <xf numFmtId="0" fontId="2" fillId="0" borderId="133" xfId="0" applyFont="1" applyFill="1" applyBorder="1" applyAlignment="1">
      <alignment horizontal="centerContinuous"/>
    </xf>
    <xf numFmtId="0" fontId="2" fillId="0" borderId="68" xfId="0" applyFont="1" applyFill="1" applyBorder="1" applyAlignment="1">
      <alignment horizontal="centerContinuous"/>
    </xf>
    <xf numFmtId="0" fontId="2" fillId="0" borderId="93" xfId="0" applyFont="1" applyFill="1" applyBorder="1" applyAlignment="1">
      <alignment horizontal="centerContinuous"/>
    </xf>
    <xf numFmtId="3" fontId="0" fillId="0" borderId="82" xfId="0" applyNumberFormat="1" applyFill="1" applyBorder="1" applyAlignment="1">
      <alignment horizontal="centerContinuous"/>
    </xf>
    <xf numFmtId="194" fontId="2" fillId="0" borderId="84" xfId="0" applyNumberFormat="1" applyFont="1" applyFill="1" applyBorder="1" applyAlignment="1"/>
    <xf numFmtId="0" fontId="0" fillId="0" borderId="56" xfId="0" applyFill="1" applyBorder="1" applyAlignment="1">
      <alignment horizontal="left"/>
    </xf>
    <xf numFmtId="0" fontId="0" fillId="0" borderId="16" xfId="0" applyFill="1" applyBorder="1" applyAlignment="1">
      <alignment horizontal="left"/>
    </xf>
    <xf numFmtId="0" fontId="24" fillId="0" borderId="48" xfId="0" applyFont="1" applyFill="1" applyBorder="1" applyAlignment="1">
      <alignment horizontal="right" vertical="center"/>
    </xf>
    <xf numFmtId="0" fontId="0" fillId="0" borderId="82" xfId="0" applyFill="1" applyBorder="1" applyAlignment="1">
      <alignment horizontal="centerContinuous"/>
    </xf>
    <xf numFmtId="0" fontId="24" fillId="0" borderId="73" xfId="0" applyFont="1" applyBorder="1" applyAlignment="1">
      <alignment horizontal="left"/>
    </xf>
    <xf numFmtId="49" fontId="83" fillId="0" borderId="0" xfId="0" applyNumberFormat="1" applyFont="1">
      <alignment vertical="center"/>
    </xf>
    <xf numFmtId="0" fontId="83" fillId="0" borderId="0" xfId="0" applyFont="1">
      <alignment vertical="center"/>
    </xf>
    <xf numFmtId="49" fontId="83" fillId="0" borderId="13" xfId="0" applyNumberFormat="1" applyFont="1" applyBorder="1">
      <alignment vertical="center"/>
    </xf>
    <xf numFmtId="0" fontId="83" fillId="0" borderId="25" xfId="0" applyFont="1" applyBorder="1">
      <alignment vertical="center"/>
    </xf>
    <xf numFmtId="0" fontId="83" fillId="0" borderId="92" xfId="0" applyFont="1" applyBorder="1">
      <alignment vertical="center"/>
    </xf>
    <xf numFmtId="0" fontId="83" fillId="0" borderId="16" xfId="0" applyFont="1" applyBorder="1">
      <alignment vertical="center"/>
    </xf>
    <xf numFmtId="0" fontId="83" fillId="0" borderId="0" xfId="0" applyFont="1" applyBorder="1">
      <alignment vertical="center"/>
    </xf>
    <xf numFmtId="49" fontId="83" fillId="0" borderId="16" xfId="0" applyNumberFormat="1" applyFont="1" applyBorder="1">
      <alignment vertical="center"/>
    </xf>
    <xf numFmtId="0" fontId="83" fillId="0" borderId="80" xfId="0" applyFont="1" applyBorder="1">
      <alignment vertical="center"/>
    </xf>
    <xf numFmtId="0" fontId="82" fillId="0" borderId="0" xfId="0" applyFont="1" applyBorder="1" applyAlignment="1">
      <alignment vertical="center"/>
    </xf>
    <xf numFmtId="49" fontId="84" fillId="0" borderId="16" xfId="0" applyNumberFormat="1" applyFont="1" applyBorder="1" applyAlignment="1">
      <alignment vertical="center"/>
    </xf>
    <xf numFmtId="0" fontId="84" fillId="0" borderId="0" xfId="0" applyFont="1" applyBorder="1" applyAlignment="1">
      <alignment vertical="center"/>
    </xf>
    <xf numFmtId="0" fontId="84" fillId="0" borderId="80" xfId="0" applyFont="1" applyBorder="1" applyAlignment="1">
      <alignment vertical="center"/>
    </xf>
    <xf numFmtId="0" fontId="84" fillId="0" borderId="16" xfId="0" applyFont="1" applyBorder="1" applyAlignment="1">
      <alignment vertical="center"/>
    </xf>
    <xf numFmtId="0" fontId="85" fillId="0" borderId="0" xfId="0" applyFont="1" applyBorder="1" applyAlignment="1">
      <alignment vertical="center"/>
    </xf>
    <xf numFmtId="0" fontId="85" fillId="0" borderId="69" xfId="0" applyFont="1" applyBorder="1" applyAlignment="1">
      <alignment vertical="center" wrapText="1"/>
    </xf>
    <xf numFmtId="0" fontId="83" fillId="0" borderId="136" xfId="0" applyFont="1" applyBorder="1">
      <alignment vertical="center"/>
    </xf>
    <xf numFmtId="0" fontId="83" fillId="0" borderId="46" xfId="0" applyFont="1" applyBorder="1">
      <alignment vertical="center"/>
    </xf>
    <xf numFmtId="0" fontId="85" fillId="0" borderId="137" xfId="0" applyFont="1" applyBorder="1" applyAlignment="1">
      <alignment vertical="center" wrapText="1"/>
    </xf>
    <xf numFmtId="0" fontId="83" fillId="0" borderId="138" xfId="0" applyFont="1" applyBorder="1">
      <alignment vertical="center"/>
    </xf>
    <xf numFmtId="0" fontId="85" fillId="0" borderId="139" xfId="0" applyFont="1" applyBorder="1">
      <alignment vertical="center"/>
    </xf>
    <xf numFmtId="0" fontId="83" fillId="0" borderId="140" xfId="0" applyFont="1" applyBorder="1">
      <alignment vertical="center"/>
    </xf>
    <xf numFmtId="0" fontId="83" fillId="0" borderId="141" xfId="0" applyFont="1" applyBorder="1">
      <alignment vertical="center"/>
    </xf>
    <xf numFmtId="0" fontId="83" fillId="0" borderId="0" xfId="0" applyFont="1" applyBorder="1" applyAlignment="1">
      <alignment horizontal="center" vertical="center"/>
    </xf>
    <xf numFmtId="0" fontId="83" fillId="0" borderId="0" xfId="0" applyFont="1" applyBorder="1" applyAlignment="1">
      <alignment vertical="center" shrinkToFit="1"/>
    </xf>
    <xf numFmtId="0" fontId="83" fillId="0" borderId="35" xfId="0" applyFont="1" applyBorder="1">
      <alignment vertical="center"/>
    </xf>
    <xf numFmtId="0" fontId="83" fillId="0" borderId="83" xfId="0" applyFont="1" applyBorder="1">
      <alignment vertical="center"/>
    </xf>
    <xf numFmtId="0" fontId="83" fillId="0" borderId="0" xfId="0" applyFont="1" applyBorder="1" applyAlignment="1">
      <alignment vertical="center"/>
    </xf>
    <xf numFmtId="0" fontId="83" fillId="0" borderId="0" xfId="0" applyFont="1" applyBorder="1" applyAlignment="1">
      <alignment horizontal="center" vertical="center" shrinkToFit="1"/>
    </xf>
    <xf numFmtId="0" fontId="83" fillId="0" borderId="0" xfId="0" applyFont="1" applyFill="1" applyBorder="1" applyAlignment="1">
      <alignment horizontal="center" vertical="center"/>
    </xf>
    <xf numFmtId="0" fontId="83" fillId="0" borderId="0" xfId="0" applyFont="1" applyFill="1" applyBorder="1" applyAlignment="1">
      <alignment horizontal="center" vertical="center" shrinkToFit="1"/>
    </xf>
    <xf numFmtId="0" fontId="85" fillId="0" borderId="142" xfId="0" applyFont="1" applyBorder="1">
      <alignment vertical="center"/>
    </xf>
    <xf numFmtId="0" fontId="83" fillId="0" borderId="142" xfId="0" applyFont="1" applyBorder="1">
      <alignment vertical="center"/>
    </xf>
    <xf numFmtId="0" fontId="83" fillId="0" borderId="143" xfId="0" applyFont="1" applyBorder="1">
      <alignment vertical="center"/>
    </xf>
    <xf numFmtId="0" fontId="85" fillId="0" borderId="0" xfId="0" applyFont="1" applyBorder="1">
      <alignment vertical="center"/>
    </xf>
    <xf numFmtId="0" fontId="83" fillId="0" borderId="144" xfId="0" applyFont="1" applyBorder="1">
      <alignment vertical="center"/>
    </xf>
    <xf numFmtId="0" fontId="83" fillId="0" borderId="45" xfId="0" applyFont="1" applyBorder="1">
      <alignment vertical="center"/>
    </xf>
    <xf numFmtId="0" fontId="86" fillId="0" borderId="0" xfId="0" applyFont="1" applyBorder="1">
      <alignment vertical="center"/>
    </xf>
    <xf numFmtId="0" fontId="87" fillId="0" borderId="0" xfId="0" applyFont="1" applyBorder="1" applyAlignment="1">
      <alignment vertical="center" wrapText="1"/>
    </xf>
    <xf numFmtId="0" fontId="87" fillId="0" borderId="0" xfId="0" applyFont="1" applyBorder="1" applyAlignment="1">
      <alignment horizontal="center" vertical="top" wrapText="1"/>
    </xf>
    <xf numFmtId="0" fontId="83" fillId="0" borderId="135" xfId="0" applyFont="1" applyBorder="1">
      <alignment vertical="center"/>
    </xf>
    <xf numFmtId="0" fontId="87" fillId="0" borderId="144" xfId="0" applyFont="1" applyBorder="1" applyAlignment="1">
      <alignment horizontal="center" vertical="top" wrapText="1"/>
    </xf>
    <xf numFmtId="0" fontId="83" fillId="0" borderId="145" xfId="0" applyFont="1" applyBorder="1">
      <alignment vertical="center"/>
    </xf>
    <xf numFmtId="0" fontId="87" fillId="0" borderId="142" xfId="0" applyFont="1" applyBorder="1">
      <alignment vertical="center"/>
    </xf>
    <xf numFmtId="0" fontId="83" fillId="0" borderId="146" xfId="0" applyFont="1" applyBorder="1">
      <alignment vertical="center"/>
    </xf>
    <xf numFmtId="0" fontId="87" fillId="0" borderId="0" xfId="0" applyFont="1" applyBorder="1">
      <alignment vertical="center"/>
    </xf>
    <xf numFmtId="0" fontId="88" fillId="0" borderId="0" xfId="0" applyFont="1" applyBorder="1" applyAlignment="1">
      <alignment vertical="center"/>
    </xf>
    <xf numFmtId="0" fontId="87" fillId="0" borderId="0" xfId="0" applyFont="1" applyBorder="1" applyAlignment="1">
      <alignment vertical="top" wrapText="1"/>
    </xf>
    <xf numFmtId="0" fontId="87" fillId="0" borderId="144" xfId="0" applyFont="1" applyBorder="1" applyAlignment="1">
      <alignment vertical="top" wrapText="1"/>
    </xf>
    <xf numFmtId="0" fontId="83" fillId="0" borderId="142" xfId="0" applyFont="1" applyBorder="1" applyAlignment="1">
      <alignment vertical="center"/>
    </xf>
    <xf numFmtId="0" fontId="87" fillId="0" borderId="142" xfId="0" applyFont="1" applyBorder="1" applyAlignment="1">
      <alignment horizontal="center" vertical="top" wrapText="1"/>
    </xf>
    <xf numFmtId="49" fontId="83" fillId="0" borderId="17" xfId="0" applyNumberFormat="1" applyFont="1" applyBorder="1">
      <alignment vertical="center"/>
    </xf>
    <xf numFmtId="49" fontId="83" fillId="0" borderId="0" xfId="0" applyNumberFormat="1" applyFont="1" applyBorder="1">
      <alignment vertical="center"/>
    </xf>
    <xf numFmtId="49" fontId="89" fillId="0" borderId="0" xfId="0" applyNumberFormat="1" applyFont="1" applyBorder="1">
      <alignment vertical="center"/>
    </xf>
    <xf numFmtId="0" fontId="85" fillId="0" borderId="0" xfId="0" applyFont="1" applyBorder="1" applyAlignment="1">
      <alignment vertical="top" wrapText="1"/>
    </xf>
    <xf numFmtId="49" fontId="85" fillId="0" borderId="0" xfId="0" applyNumberFormat="1" applyFont="1" applyBorder="1">
      <alignment vertical="center"/>
    </xf>
    <xf numFmtId="0" fontId="85" fillId="0" borderId="0" xfId="0" applyFont="1" applyBorder="1" applyAlignment="1">
      <alignment vertical="center" wrapText="1"/>
    </xf>
    <xf numFmtId="0" fontId="89" fillId="0" borderId="0" xfId="0" applyFont="1" applyBorder="1" applyAlignment="1">
      <alignment vertical="center"/>
    </xf>
    <xf numFmtId="0" fontId="90" fillId="0" borderId="0" xfId="0" applyFont="1">
      <alignment vertical="center"/>
    </xf>
    <xf numFmtId="0" fontId="89" fillId="0" borderId="0" xfId="0" applyFont="1" applyBorder="1">
      <alignment vertical="center"/>
    </xf>
    <xf numFmtId="0" fontId="89" fillId="0" borderId="0" xfId="0" applyFont="1" applyBorder="1" applyAlignment="1">
      <alignment vertical="center" wrapText="1"/>
    </xf>
    <xf numFmtId="49" fontId="85" fillId="0" borderId="0" xfId="0" applyNumberFormat="1" applyFont="1" applyBorder="1" applyAlignment="1">
      <alignment vertical="center" wrapText="1"/>
    </xf>
    <xf numFmtId="49" fontId="85" fillId="0" borderId="0" xfId="0" applyNumberFormat="1" applyFont="1">
      <alignment vertical="center"/>
    </xf>
    <xf numFmtId="49" fontId="85" fillId="0" borderId="0" xfId="0" applyNumberFormat="1" applyFont="1" applyBorder="1" applyAlignment="1">
      <alignment horizontal="left" vertical="center" wrapText="1"/>
    </xf>
    <xf numFmtId="0" fontId="83" fillId="0" borderId="0" xfId="0" quotePrefix="1" applyFont="1">
      <alignment vertical="center"/>
    </xf>
    <xf numFmtId="0" fontId="95" fillId="0" borderId="0" xfId="0" applyNumberFormat="1" applyFont="1" applyAlignment="1">
      <alignment vertical="center"/>
    </xf>
    <xf numFmtId="0" fontId="91" fillId="0" borderId="0" xfId="0" applyNumberFormat="1" applyFont="1" applyAlignment="1">
      <alignment vertical="center"/>
    </xf>
    <xf numFmtId="0" fontId="91" fillId="0" borderId="0" xfId="0" applyNumberFormat="1" applyFont="1" applyBorder="1" applyAlignment="1">
      <alignment vertical="center" shrinkToFit="1"/>
    </xf>
    <xf numFmtId="0" fontId="91" fillId="0" borderId="0" xfId="0" applyFont="1" applyAlignment="1">
      <alignment vertical="center"/>
    </xf>
    <xf numFmtId="0" fontId="96" fillId="0" borderId="0" xfId="0" applyNumberFormat="1" applyFont="1" applyAlignment="1">
      <alignment vertical="center"/>
    </xf>
    <xf numFmtId="0" fontId="91" fillId="0" borderId="0" xfId="0" applyNumberFormat="1" applyFont="1" applyBorder="1" applyAlignment="1">
      <alignment horizontal="left" vertical="center"/>
    </xf>
    <xf numFmtId="0" fontId="48" fillId="0" borderId="0" xfId="0" applyNumberFormat="1" applyFont="1" applyBorder="1" applyAlignment="1">
      <alignment horizontal="center" vertical="center"/>
    </xf>
    <xf numFmtId="0" fontId="91" fillId="0" borderId="0" xfId="0" applyNumberFormat="1" applyFont="1" applyBorder="1" applyAlignment="1">
      <alignment vertical="center"/>
    </xf>
    <xf numFmtId="0" fontId="20" fillId="0" borderId="147" xfId="0" applyNumberFormat="1" applyFont="1" applyBorder="1" applyAlignment="1">
      <alignment vertical="center"/>
    </xf>
    <xf numFmtId="0" fontId="20" fillId="0" borderId="148" xfId="0" applyNumberFormat="1" applyFont="1" applyBorder="1" applyAlignment="1">
      <alignment vertical="center"/>
    </xf>
    <xf numFmtId="0" fontId="4" fillId="0" borderId="148" xfId="0" applyNumberFormat="1" applyFont="1" applyBorder="1" applyAlignment="1">
      <alignment vertical="center"/>
    </xf>
    <xf numFmtId="0" fontId="4" fillId="0" borderId="149" xfId="0" applyNumberFormat="1" applyFont="1" applyBorder="1" applyAlignment="1">
      <alignment vertical="center"/>
    </xf>
    <xf numFmtId="0" fontId="4" fillId="0" borderId="73" xfId="0" applyNumberFormat="1" applyFont="1" applyBorder="1" applyAlignment="1">
      <alignment vertical="center"/>
    </xf>
    <xf numFmtId="0" fontId="20" fillId="0" borderId="73" xfId="0" applyNumberFormat="1" applyFont="1" applyBorder="1" applyAlignment="1">
      <alignment vertical="center"/>
    </xf>
    <xf numFmtId="0" fontId="20" fillId="0" borderId="74" xfId="0" applyNumberFormat="1" applyFont="1" applyBorder="1" applyAlignment="1">
      <alignment vertical="center"/>
    </xf>
    <xf numFmtId="0" fontId="20" fillId="0" borderId="25" xfId="0" applyNumberFormat="1" applyFont="1" applyBorder="1" applyAlignment="1">
      <alignment horizontal="center" vertical="center"/>
    </xf>
    <xf numFmtId="0" fontId="20" fillId="25" borderId="25" xfId="0" applyNumberFormat="1" applyFont="1" applyFill="1" applyBorder="1" applyAlignment="1">
      <alignment horizontal="center" vertical="center"/>
    </xf>
    <xf numFmtId="0" fontId="20" fillId="25" borderId="150" xfId="0" applyNumberFormat="1" applyFont="1" applyFill="1" applyBorder="1" applyAlignment="1">
      <alignment horizontal="center" vertical="center"/>
    </xf>
    <xf numFmtId="0" fontId="20" fillId="0" borderId="92" xfId="0" applyNumberFormat="1" applyFont="1" applyBorder="1" applyAlignment="1">
      <alignment horizontal="center" vertical="center"/>
    </xf>
    <xf numFmtId="0" fontId="20" fillId="25" borderId="67" xfId="0" applyNumberFormat="1" applyFont="1" applyFill="1" applyBorder="1" applyAlignment="1">
      <alignment horizontal="center" vertical="center"/>
    </xf>
    <xf numFmtId="0" fontId="20" fillId="0" borderId="67" xfId="0" applyNumberFormat="1" applyFont="1" applyBorder="1" applyAlignment="1">
      <alignment horizontal="center" vertical="center"/>
    </xf>
    <xf numFmtId="0" fontId="20" fillId="0" borderId="96" xfId="0" applyNumberFormat="1" applyFont="1" applyBorder="1" applyAlignment="1">
      <alignment horizontal="center" vertical="center"/>
    </xf>
    <xf numFmtId="0" fontId="20" fillId="25" borderId="117" xfId="0" applyNumberFormat="1" applyFont="1" applyFill="1" applyBorder="1" applyAlignment="1">
      <alignment horizontal="center" vertical="center"/>
    </xf>
    <xf numFmtId="0" fontId="20" fillId="0" borderId="68" xfId="0" applyNumberFormat="1" applyFont="1" applyBorder="1" applyAlignment="1">
      <alignment horizontal="center" vertical="center"/>
    </xf>
    <xf numFmtId="0" fontId="20" fillId="25" borderId="68" xfId="0" applyNumberFormat="1" applyFont="1" applyFill="1" applyBorder="1" applyAlignment="1">
      <alignment horizontal="center" vertical="center"/>
    </xf>
    <xf numFmtId="0" fontId="20" fillId="0" borderId="93" xfId="0" applyNumberFormat="1" applyFont="1" applyBorder="1" applyAlignment="1">
      <alignment horizontal="center" vertical="center"/>
    </xf>
    <xf numFmtId="0" fontId="20" fillId="0" borderId="150" xfId="0" applyNumberFormat="1" applyFont="1" applyBorder="1" applyAlignment="1">
      <alignment horizontal="center" vertical="center"/>
    </xf>
    <xf numFmtId="0" fontId="20" fillId="0" borderId="151" xfId="0" applyNumberFormat="1" applyFont="1" applyBorder="1" applyAlignment="1">
      <alignment horizontal="center" vertical="center"/>
    </xf>
    <xf numFmtId="0" fontId="20" fillId="0" borderId="117" xfId="0" applyNumberFormat="1" applyFont="1" applyBorder="1" applyAlignment="1">
      <alignment horizontal="center" vertical="center"/>
    </xf>
    <xf numFmtId="0" fontId="20" fillId="0" borderId="152" xfId="0" applyNumberFormat="1" applyFont="1" applyBorder="1" applyAlignment="1">
      <alignment horizontal="center" vertical="center"/>
    </xf>
    <xf numFmtId="0" fontId="4" fillId="0" borderId="0" xfId="0" applyNumberFormat="1" applyFont="1" applyAlignment="1">
      <alignment vertical="center"/>
    </xf>
    <xf numFmtId="0" fontId="20" fillId="0" borderId="56" xfId="0" applyNumberFormat="1" applyFont="1" applyFill="1" applyBorder="1" applyAlignment="1">
      <alignment horizontal="center" vertical="center"/>
    </xf>
    <xf numFmtId="0" fontId="20" fillId="0" borderId="153" xfId="0" applyNumberFormat="1" applyFont="1" applyFill="1" applyBorder="1" applyAlignment="1">
      <alignment vertical="center"/>
    </xf>
    <xf numFmtId="0" fontId="20" fillId="25" borderId="153" xfId="0" applyNumberFormat="1" applyFont="1" applyFill="1" applyBorder="1" applyAlignment="1">
      <alignment vertical="center"/>
    </xf>
    <xf numFmtId="0" fontId="20" fillId="36" borderId="153" xfId="0" applyNumberFormat="1" applyFont="1" applyFill="1" applyBorder="1" applyAlignment="1">
      <alignment vertical="center"/>
    </xf>
    <xf numFmtId="0" fontId="20" fillId="25" borderId="154" xfId="0" applyNumberFormat="1" applyFont="1" applyFill="1" applyBorder="1" applyAlignment="1">
      <alignment vertical="center"/>
    </xf>
    <xf numFmtId="0" fontId="20" fillId="0" borderId="0" xfId="0" applyNumberFormat="1" applyFont="1" applyFill="1" applyBorder="1" applyAlignment="1">
      <alignment vertical="center"/>
    </xf>
    <xf numFmtId="0" fontId="20" fillId="25" borderId="0" xfId="0" applyNumberFormat="1" applyFont="1" applyFill="1" applyBorder="1" applyAlignment="1">
      <alignment vertical="center"/>
    </xf>
    <xf numFmtId="0" fontId="20" fillId="36" borderId="0" xfId="0" applyNumberFormat="1" applyFont="1" applyFill="1" applyBorder="1" applyAlignment="1">
      <alignment vertical="center"/>
    </xf>
    <xf numFmtId="0" fontId="20" fillId="25" borderId="80" xfId="0" applyNumberFormat="1" applyFont="1" applyFill="1" applyBorder="1" applyAlignment="1">
      <alignment vertical="center"/>
    </xf>
    <xf numFmtId="0" fontId="20" fillId="0" borderId="25" xfId="0" applyNumberFormat="1" applyFont="1" applyFill="1" applyBorder="1" applyAlignment="1">
      <alignment vertical="center"/>
    </xf>
    <xf numFmtId="0" fontId="20" fillId="25" borderId="25" xfId="0" applyNumberFormat="1" applyFont="1" applyFill="1" applyBorder="1" applyAlignment="1">
      <alignment vertical="center"/>
    </xf>
    <xf numFmtId="0" fontId="91" fillId="25" borderId="25" xfId="0" applyNumberFormat="1" applyFont="1" applyFill="1" applyBorder="1" applyAlignment="1">
      <alignment vertical="center" wrapText="1"/>
    </xf>
    <xf numFmtId="0" fontId="91" fillId="36" borderId="25" xfId="0" applyNumberFormat="1" applyFont="1" applyFill="1" applyBorder="1" applyAlignment="1">
      <alignment vertical="center" wrapText="1"/>
    </xf>
    <xf numFmtId="0" fontId="91" fillId="25" borderId="92" xfId="0" applyNumberFormat="1" applyFont="1" applyFill="1" applyBorder="1" applyAlignment="1">
      <alignment vertical="center" wrapText="1"/>
    </xf>
    <xf numFmtId="0" fontId="20" fillId="0" borderId="82" xfId="0" applyNumberFormat="1" applyFont="1" applyFill="1" applyBorder="1" applyAlignment="1">
      <alignment horizontal="center" vertical="center"/>
    </xf>
    <xf numFmtId="0" fontId="20" fillId="0" borderId="35" xfId="0" applyNumberFormat="1" applyFont="1" applyFill="1" applyBorder="1" applyAlignment="1">
      <alignment vertical="center"/>
    </xf>
    <xf numFmtId="0" fontId="20" fillId="35" borderId="35" xfId="0" applyNumberFormat="1" applyFont="1" applyFill="1" applyBorder="1" applyAlignment="1">
      <alignment vertical="center"/>
    </xf>
    <xf numFmtId="0" fontId="91" fillId="25" borderId="35" xfId="0" applyNumberFormat="1" applyFont="1" applyFill="1" applyBorder="1" applyAlignment="1">
      <alignment vertical="center" wrapText="1"/>
    </xf>
    <xf numFmtId="0" fontId="91" fillId="36" borderId="35" xfId="0" applyNumberFormat="1" applyFont="1" applyFill="1" applyBorder="1" applyAlignment="1">
      <alignment vertical="center" wrapText="1"/>
    </xf>
    <xf numFmtId="0" fontId="91" fillId="25" borderId="83" xfId="0" applyNumberFormat="1" applyFont="1" applyFill="1" applyBorder="1" applyAlignment="1">
      <alignment vertical="center" wrapText="1"/>
    </xf>
    <xf numFmtId="0" fontId="91" fillId="25" borderId="0" xfId="0" applyNumberFormat="1" applyFont="1" applyFill="1" applyBorder="1" applyAlignment="1">
      <alignment vertical="center" wrapText="1"/>
    </xf>
    <xf numFmtId="0" fontId="91" fillId="36" borderId="0" xfId="0" applyNumberFormat="1" applyFont="1" applyFill="1" applyBorder="1" applyAlignment="1">
      <alignment vertical="center" wrapText="1"/>
    </xf>
    <xf numFmtId="0" fontId="91" fillId="25" borderId="80" xfId="0" applyNumberFormat="1" applyFont="1" applyFill="1" applyBorder="1" applyAlignment="1">
      <alignment vertical="center" wrapText="1"/>
    </xf>
    <xf numFmtId="0" fontId="20" fillId="0" borderId="57" xfId="0" applyNumberFormat="1" applyFont="1" applyFill="1" applyBorder="1" applyAlignment="1">
      <alignment horizontal="center" vertical="center"/>
    </xf>
    <xf numFmtId="0" fontId="20" fillId="25" borderId="68" xfId="0" applyNumberFormat="1" applyFont="1" applyFill="1" applyBorder="1" applyAlignment="1">
      <alignment vertical="center"/>
    </xf>
    <xf numFmtId="0" fontId="20" fillId="0" borderId="68" xfId="0" applyNumberFormat="1" applyFont="1" applyFill="1" applyBorder="1" applyAlignment="1">
      <alignment vertical="center"/>
    </xf>
    <xf numFmtId="0" fontId="91" fillId="25" borderId="68" xfId="0" applyNumberFormat="1" applyFont="1" applyFill="1" applyBorder="1" applyAlignment="1">
      <alignment vertical="center" wrapText="1"/>
    </xf>
    <xf numFmtId="0" fontId="91" fillId="36" borderId="68" xfId="0" applyNumberFormat="1" applyFont="1" applyFill="1" applyBorder="1" applyAlignment="1">
      <alignment vertical="center" wrapText="1"/>
    </xf>
    <xf numFmtId="0" fontId="91" fillId="25" borderId="93" xfId="0" applyNumberFormat="1" applyFont="1" applyFill="1" applyBorder="1" applyAlignment="1">
      <alignment vertical="center" wrapText="1"/>
    </xf>
    <xf numFmtId="0" fontId="20" fillId="25" borderId="57" xfId="0" applyNumberFormat="1" applyFont="1" applyFill="1" applyBorder="1" applyAlignment="1">
      <alignment vertical="center" wrapText="1"/>
    </xf>
    <xf numFmtId="0" fontId="20" fillId="25" borderId="68" xfId="0" applyNumberFormat="1" applyFont="1" applyFill="1" applyBorder="1" applyAlignment="1">
      <alignment vertical="center" wrapText="1"/>
    </xf>
    <xf numFmtId="0" fontId="20" fillId="25" borderId="75" xfId="0" applyNumberFormat="1" applyFont="1" applyFill="1" applyBorder="1" applyAlignment="1">
      <alignment vertical="center" wrapText="1"/>
    </xf>
    <xf numFmtId="0" fontId="14" fillId="0" borderId="0" xfId="0" applyNumberFormat="1" applyFont="1" applyAlignment="1">
      <alignment vertical="center"/>
    </xf>
    <xf numFmtId="0" fontId="4" fillId="0" borderId="0" xfId="0" applyNumberFormat="1" applyFont="1" applyAlignment="1">
      <alignment vertical="top"/>
    </xf>
    <xf numFmtId="0" fontId="91" fillId="0" borderId="0" xfId="0" applyNumberFormat="1" applyFont="1" applyAlignment="1"/>
    <xf numFmtId="0" fontId="4" fillId="0" borderId="35" xfId="0" applyNumberFormat="1" applyFont="1" applyBorder="1" applyAlignment="1"/>
    <xf numFmtId="0" fontId="91" fillId="0" borderId="35" xfId="0" applyNumberFormat="1" applyFont="1" applyBorder="1" applyAlignment="1">
      <alignment vertical="center"/>
    </xf>
    <xf numFmtId="0" fontId="20" fillId="0" borderId="0" xfId="0" applyNumberFormat="1" applyFont="1" applyAlignment="1">
      <alignment vertical="center"/>
    </xf>
    <xf numFmtId="0" fontId="20" fillId="0" borderId="0" xfId="0" applyFont="1">
      <alignment vertical="center"/>
    </xf>
    <xf numFmtId="0" fontId="92" fillId="0" borderId="0" xfId="0" applyFont="1">
      <alignment vertical="center"/>
    </xf>
    <xf numFmtId="0" fontId="4" fillId="0" borderId="0" xfId="0" applyFont="1">
      <alignment vertical="center"/>
    </xf>
    <xf numFmtId="0" fontId="14" fillId="0" borderId="52" xfId="0" applyFont="1" applyBorder="1" applyAlignment="1">
      <alignment horizontal="center" vertical="center"/>
    </xf>
    <xf numFmtId="0" fontId="4" fillId="0" borderId="155" xfId="0" applyFont="1" applyBorder="1" applyAlignment="1">
      <alignment horizontal="center" vertical="center"/>
    </xf>
    <xf numFmtId="0" fontId="97" fillId="0" borderId="48" xfId="0" applyFont="1" applyBorder="1" applyAlignment="1">
      <alignment horizontal="center" wrapText="1"/>
    </xf>
    <xf numFmtId="0" fontId="97" fillId="0" borderId="156" xfId="0" applyFont="1" applyBorder="1" applyAlignment="1">
      <alignment horizontal="center" vertical="top" wrapText="1"/>
    </xf>
    <xf numFmtId="0" fontId="101" fillId="0" borderId="0" xfId="88" applyFont="1" applyBorder="1" applyAlignment="1">
      <alignment vertical="center"/>
    </xf>
    <xf numFmtId="0" fontId="93" fillId="0" borderId="0" xfId="88">
      <alignment vertical="center"/>
    </xf>
    <xf numFmtId="0" fontId="102" fillId="42" borderId="45" xfId="88" applyFont="1" applyFill="1" applyBorder="1" applyAlignment="1">
      <alignment horizontal="center" vertical="center" wrapText="1"/>
    </xf>
    <xf numFmtId="0" fontId="101" fillId="0" borderId="40" xfId="88" applyFont="1" applyBorder="1" applyAlignment="1">
      <alignment horizontal="justify" vertical="top" wrapText="1"/>
    </xf>
    <xf numFmtId="0" fontId="101" fillId="0" borderId="0" xfId="88" applyFont="1" applyAlignment="1">
      <alignment vertical="center" wrapText="1"/>
    </xf>
    <xf numFmtId="0" fontId="106" fillId="42" borderId="91" xfId="88" applyFont="1" applyFill="1" applyBorder="1" applyAlignment="1">
      <alignment horizontal="center" vertical="center" textRotation="255" wrapText="1"/>
    </xf>
    <xf numFmtId="0" fontId="98" fillId="0" borderId="17" xfId="88" applyFont="1" applyBorder="1" applyAlignment="1">
      <alignment horizontal="center" vertical="center" wrapText="1"/>
    </xf>
    <xf numFmtId="0" fontId="101" fillId="0" borderId="0" xfId="88" applyFont="1" applyAlignment="1">
      <alignment horizontal="justify" vertical="center" wrapText="1"/>
    </xf>
    <xf numFmtId="0" fontId="114" fillId="0" borderId="0" xfId="88" applyFont="1" applyBorder="1" applyAlignment="1">
      <alignment horizontal="left" vertical="center" wrapText="1"/>
    </xf>
    <xf numFmtId="0" fontId="114" fillId="0" borderId="227" xfId="88" applyFont="1" applyBorder="1" applyAlignment="1">
      <alignment horizontal="left" vertical="center" wrapText="1"/>
    </xf>
    <xf numFmtId="0" fontId="102" fillId="0" borderId="0" xfId="88" applyFont="1" applyBorder="1" applyAlignment="1">
      <alignment horizontal="justify" vertical="top" wrapText="1"/>
    </xf>
    <xf numFmtId="0" fontId="118" fillId="0" borderId="0" xfId="88" applyFont="1" applyAlignment="1">
      <alignment horizontal="left" vertical="center" readingOrder="1"/>
    </xf>
    <xf numFmtId="0" fontId="120" fillId="0" borderId="0" xfId="88" applyFont="1" applyBorder="1" applyAlignment="1">
      <alignment horizontal="center" vertical="center" wrapText="1"/>
    </xf>
    <xf numFmtId="0" fontId="116" fillId="0" borderId="0" xfId="88" applyFont="1" applyBorder="1" applyAlignment="1">
      <alignment horizontal="justify" vertical="top" wrapText="1"/>
    </xf>
    <xf numFmtId="0" fontId="121" fillId="0" borderId="0" xfId="88" applyFont="1" applyBorder="1" applyAlignment="1">
      <alignment horizontal="center" vertical="top" wrapText="1"/>
    </xf>
    <xf numFmtId="0" fontId="93" fillId="0" borderId="0" xfId="88" applyBorder="1">
      <alignment vertical="center"/>
    </xf>
    <xf numFmtId="0" fontId="101" fillId="0" borderId="0" xfId="88" applyFont="1" applyAlignment="1">
      <alignment horizontal="justify" vertical="center"/>
    </xf>
    <xf numFmtId="0" fontId="14" fillId="0" borderId="236" xfId="0" applyFont="1" applyBorder="1" applyAlignment="1">
      <alignment horizontal="center" vertical="center" wrapText="1"/>
    </xf>
    <xf numFmtId="0" fontId="130" fillId="0" borderId="248" xfId="0" applyFont="1" applyBorder="1" applyAlignment="1">
      <alignment horizontal="left" vertical="center" wrapText="1"/>
    </xf>
    <xf numFmtId="0" fontId="20" fillId="25" borderId="150" xfId="0" applyNumberFormat="1" applyFont="1" applyFill="1" applyBorder="1" applyAlignment="1">
      <alignment horizontal="center" vertical="center"/>
    </xf>
    <xf numFmtId="0" fontId="20" fillId="25" borderId="67" xfId="0" applyNumberFormat="1" applyFont="1" applyFill="1" applyBorder="1" applyAlignment="1">
      <alignment horizontal="center" vertical="center"/>
    </xf>
    <xf numFmtId="0" fontId="20" fillId="25" borderId="117" xfId="0" applyNumberFormat="1" applyFont="1" applyFill="1" applyBorder="1" applyAlignment="1">
      <alignment horizontal="center" vertical="center"/>
    </xf>
    <xf numFmtId="0" fontId="20" fillId="35" borderId="35" xfId="0" applyNumberFormat="1" applyFont="1" applyFill="1" applyBorder="1" applyAlignment="1">
      <alignment vertical="center"/>
    </xf>
    <xf numFmtId="0" fontId="91" fillId="0" borderId="68" xfId="0" applyNumberFormat="1" applyFont="1" applyFill="1" applyBorder="1" applyAlignment="1">
      <alignment vertical="center"/>
    </xf>
    <xf numFmtId="0" fontId="4" fillId="0" borderId="52" xfId="0" applyNumberFormat="1" applyFont="1" applyBorder="1" applyAlignment="1">
      <alignment horizontal="left" vertical="center"/>
    </xf>
    <xf numFmtId="0" fontId="4" fillId="0" borderId="73" xfId="0" applyNumberFormat="1" applyFont="1" applyBorder="1" applyAlignment="1">
      <alignment horizontal="left" vertical="center"/>
    </xf>
    <xf numFmtId="0" fontId="4" fillId="0" borderId="74" xfId="0" applyNumberFormat="1" applyFont="1" applyBorder="1" applyAlignment="1">
      <alignment horizontal="left" vertical="center"/>
    </xf>
    <xf numFmtId="0" fontId="20" fillId="25" borderId="103" xfId="0" applyNumberFormat="1" applyFont="1" applyFill="1" applyBorder="1" applyAlignment="1">
      <alignment horizontal="center" vertical="center" wrapText="1"/>
    </xf>
    <xf numFmtId="0" fontId="20" fillId="25" borderId="67" xfId="0" applyNumberFormat="1" applyFont="1" applyFill="1" applyBorder="1" applyAlignment="1">
      <alignment horizontal="center" vertical="center" wrapText="1"/>
    </xf>
    <xf numFmtId="0" fontId="20" fillId="25" borderId="167" xfId="0" applyNumberFormat="1" applyFont="1" applyFill="1" applyBorder="1" applyAlignment="1">
      <alignment horizontal="center" vertical="center" wrapText="1"/>
    </xf>
    <xf numFmtId="0" fontId="14" fillId="0" borderId="0" xfId="0" applyNumberFormat="1" applyFont="1" applyAlignment="1">
      <alignment horizontal="left" vertical="center"/>
    </xf>
    <xf numFmtId="0" fontId="91" fillId="0" borderId="0" xfId="0" applyNumberFormat="1" applyFont="1" applyAlignment="1">
      <alignment horizontal="center"/>
    </xf>
    <xf numFmtId="0" fontId="91" fillId="0" borderId="35" xfId="0" applyNumberFormat="1" applyFont="1" applyBorder="1" applyAlignment="1">
      <alignment horizontal="center" vertical="center"/>
    </xf>
    <xf numFmtId="0" fontId="20" fillId="25" borderId="91" xfId="0" applyNumberFormat="1" applyFont="1" applyFill="1" applyBorder="1" applyAlignment="1">
      <alignment horizontal="right" vertical="center" wrapText="1"/>
    </xf>
    <xf numFmtId="0" fontId="20" fillId="25" borderId="25" xfId="0" applyNumberFormat="1" applyFont="1" applyFill="1" applyBorder="1" applyAlignment="1">
      <alignment horizontal="right" vertical="center" wrapText="1"/>
    </xf>
    <xf numFmtId="0" fontId="20" fillId="25" borderId="92" xfId="0" applyNumberFormat="1" applyFont="1" applyFill="1" applyBorder="1" applyAlignment="1">
      <alignment horizontal="right" vertical="center" wrapText="1"/>
    </xf>
    <xf numFmtId="0" fontId="20" fillId="25" borderId="57" xfId="0" applyNumberFormat="1" applyFont="1" applyFill="1" applyBorder="1" applyAlignment="1">
      <alignment horizontal="right" vertical="center" wrapText="1"/>
    </xf>
    <xf numFmtId="0" fontId="20" fillId="25" borderId="68" xfId="0" applyNumberFormat="1" applyFont="1" applyFill="1" applyBorder="1" applyAlignment="1">
      <alignment horizontal="right" vertical="center" wrapText="1"/>
    </xf>
    <xf numFmtId="0" fontId="20" fillId="25" borderId="93" xfId="0" applyNumberFormat="1" applyFont="1" applyFill="1" applyBorder="1" applyAlignment="1">
      <alignment horizontal="right" vertical="center" wrapText="1"/>
    </xf>
    <xf numFmtId="0" fontId="20" fillId="25" borderId="13" xfId="0" applyNumberFormat="1" applyFont="1" applyFill="1" applyBorder="1" applyAlignment="1">
      <alignment horizontal="center" vertical="center" wrapText="1"/>
    </xf>
    <xf numFmtId="0" fontId="20" fillId="25" borderId="25" xfId="0" applyNumberFormat="1" applyFont="1" applyFill="1" applyBorder="1" applyAlignment="1">
      <alignment horizontal="center" vertical="center" wrapText="1"/>
    </xf>
    <xf numFmtId="0" fontId="20" fillId="25" borderId="26" xfId="0" applyNumberFormat="1" applyFont="1" applyFill="1" applyBorder="1" applyAlignment="1">
      <alignment horizontal="center" vertical="center" wrapText="1"/>
    </xf>
    <xf numFmtId="0" fontId="20" fillId="25" borderId="133" xfId="0" applyNumberFormat="1" applyFont="1" applyFill="1" applyBorder="1" applyAlignment="1">
      <alignment horizontal="center" vertical="center" wrapText="1"/>
    </xf>
    <xf numFmtId="0" fontId="20" fillId="25" borderId="68" xfId="0" applyNumberFormat="1" applyFont="1" applyFill="1" applyBorder="1" applyAlignment="1">
      <alignment horizontal="center" vertical="center" wrapText="1"/>
    </xf>
    <xf numFmtId="0" fontId="20" fillId="25" borderId="75" xfId="0" applyNumberFormat="1" applyFont="1" applyFill="1" applyBorder="1" applyAlignment="1">
      <alignment horizontal="center" vertical="center" wrapText="1"/>
    </xf>
    <xf numFmtId="0" fontId="20" fillId="35" borderId="91" xfId="0" applyNumberFormat="1" applyFont="1" applyFill="1" applyBorder="1" applyAlignment="1">
      <alignment horizontal="left" vertical="center"/>
    </xf>
    <xf numFmtId="0" fontId="20" fillId="35" borderId="25" xfId="0" applyNumberFormat="1" applyFont="1" applyFill="1" applyBorder="1" applyAlignment="1">
      <alignment horizontal="left" vertical="center"/>
    </xf>
    <xf numFmtId="0" fontId="91" fillId="25" borderId="13" xfId="0" applyNumberFormat="1" applyFont="1" applyFill="1" applyBorder="1" applyAlignment="1">
      <alignment horizontal="center" vertical="center" wrapText="1"/>
    </xf>
    <xf numFmtId="0" fontId="91" fillId="25" borderId="25" xfId="0" applyNumberFormat="1" applyFont="1" applyFill="1" applyBorder="1" applyAlignment="1">
      <alignment horizontal="center" vertical="center" wrapText="1"/>
    </xf>
    <xf numFmtId="0" fontId="91" fillId="25" borderId="92" xfId="0" applyNumberFormat="1" applyFont="1" applyFill="1" applyBorder="1" applyAlignment="1">
      <alignment horizontal="center" vertical="center" wrapText="1"/>
    </xf>
    <xf numFmtId="0" fontId="91" fillId="25" borderId="133" xfId="0" applyNumberFormat="1" applyFont="1" applyFill="1" applyBorder="1" applyAlignment="1">
      <alignment horizontal="center" vertical="center" wrapText="1"/>
    </xf>
    <xf numFmtId="0" fontId="91" fillId="25" borderId="68" xfId="0" applyNumberFormat="1" applyFont="1" applyFill="1" applyBorder="1" applyAlignment="1">
      <alignment horizontal="center" vertical="center" wrapText="1"/>
    </xf>
    <xf numFmtId="0" fontId="91" fillId="25" borderId="93" xfId="0" applyNumberFormat="1" applyFont="1" applyFill="1" applyBorder="1" applyAlignment="1">
      <alignment horizontal="center" vertical="center" wrapText="1"/>
    </xf>
    <xf numFmtId="0" fontId="91" fillId="25" borderId="13" xfId="0" applyNumberFormat="1" applyFont="1" applyFill="1" applyBorder="1" applyAlignment="1">
      <alignment horizontal="center" vertical="center"/>
    </xf>
    <xf numFmtId="0" fontId="91" fillId="25" borderId="25" xfId="0" applyNumberFormat="1" applyFont="1" applyFill="1" applyBorder="1" applyAlignment="1">
      <alignment horizontal="center" vertical="center"/>
    </xf>
    <xf numFmtId="0" fontId="91" fillId="25" borderId="26" xfId="0" applyNumberFormat="1" applyFont="1" applyFill="1" applyBorder="1" applyAlignment="1">
      <alignment horizontal="center" vertical="center"/>
    </xf>
    <xf numFmtId="0" fontId="91" fillId="25" borderId="133" xfId="0" applyNumberFormat="1" applyFont="1" applyFill="1" applyBorder="1" applyAlignment="1">
      <alignment horizontal="center" vertical="center"/>
    </xf>
    <xf numFmtId="0" fontId="91" fillId="35" borderId="68" xfId="0" applyNumberFormat="1" applyFont="1" applyFill="1" applyBorder="1" applyAlignment="1">
      <alignment horizontal="center" vertical="center"/>
    </xf>
    <xf numFmtId="0" fontId="91" fillId="25" borderId="75" xfId="0" applyNumberFormat="1" applyFont="1" applyFill="1" applyBorder="1" applyAlignment="1">
      <alignment horizontal="center" vertical="center"/>
    </xf>
    <xf numFmtId="0" fontId="91" fillId="0" borderId="0" xfId="0" applyNumberFormat="1" applyFont="1" applyAlignment="1">
      <alignment horizontal="center" vertical="center"/>
    </xf>
    <xf numFmtId="0" fontId="20" fillId="25" borderId="82" xfId="0" applyNumberFormat="1" applyFont="1" applyFill="1" applyBorder="1" applyAlignment="1">
      <alignment horizontal="right" vertical="center" wrapText="1"/>
    </xf>
    <xf numFmtId="0" fontId="20" fillId="25" borderId="35" xfId="0" applyNumberFormat="1" applyFont="1" applyFill="1" applyBorder="1" applyAlignment="1">
      <alignment horizontal="right" vertical="center" wrapText="1"/>
    </xf>
    <xf numFmtId="0" fontId="20" fillId="25" borderId="83" xfId="0" applyNumberFormat="1" applyFont="1" applyFill="1" applyBorder="1" applyAlignment="1">
      <alignment horizontal="right" vertical="center" wrapText="1"/>
    </xf>
    <xf numFmtId="0" fontId="20" fillId="25" borderId="17" xfId="0" applyNumberFormat="1" applyFont="1" applyFill="1" applyBorder="1" applyAlignment="1">
      <alignment horizontal="center" vertical="center" wrapText="1"/>
    </xf>
    <xf numFmtId="0" fontId="20" fillId="25" borderId="35" xfId="0" applyNumberFormat="1" applyFont="1" applyFill="1" applyBorder="1" applyAlignment="1">
      <alignment horizontal="center" vertical="center" wrapText="1"/>
    </xf>
    <xf numFmtId="0" fontId="20" fillId="25" borderId="43" xfId="0" applyNumberFormat="1" applyFont="1" applyFill="1" applyBorder="1" applyAlignment="1">
      <alignment horizontal="center" vertical="center" wrapText="1"/>
    </xf>
    <xf numFmtId="0" fontId="91" fillId="25" borderId="17" xfId="0" applyNumberFormat="1" applyFont="1" applyFill="1" applyBorder="1" applyAlignment="1">
      <alignment horizontal="center" vertical="center" wrapText="1"/>
    </xf>
    <xf numFmtId="0" fontId="91" fillId="25" borderId="35" xfId="0" applyNumberFormat="1" applyFont="1" applyFill="1" applyBorder="1" applyAlignment="1">
      <alignment horizontal="center" vertical="center" wrapText="1"/>
    </xf>
    <xf numFmtId="0" fontId="91" fillId="25" borderId="17" xfId="0" applyNumberFormat="1" applyFont="1" applyFill="1" applyBorder="1" applyAlignment="1">
      <alignment horizontal="center" vertical="center"/>
    </xf>
    <xf numFmtId="0" fontId="91" fillId="25" borderId="35" xfId="0" applyNumberFormat="1" applyFont="1" applyFill="1" applyBorder="1" applyAlignment="1">
      <alignment horizontal="center" vertical="center"/>
    </xf>
    <xf numFmtId="0" fontId="91" fillId="25" borderId="43" xfId="0" applyNumberFormat="1" applyFont="1" applyFill="1" applyBorder="1" applyAlignment="1">
      <alignment horizontal="center" vertical="center"/>
    </xf>
    <xf numFmtId="0" fontId="20" fillId="25" borderId="35" xfId="0" applyNumberFormat="1" applyFont="1" applyFill="1" applyBorder="1" applyAlignment="1">
      <alignment horizontal="center" vertical="center"/>
    </xf>
    <xf numFmtId="0" fontId="20" fillId="25" borderId="56" xfId="0" applyNumberFormat="1" applyFont="1" applyFill="1" applyBorder="1" applyAlignment="1">
      <alignment horizontal="right" vertical="center" wrapText="1"/>
    </xf>
    <xf numFmtId="0" fontId="20" fillId="25" borderId="0" xfId="0" applyNumberFormat="1" applyFont="1" applyFill="1" applyBorder="1" applyAlignment="1">
      <alignment horizontal="right" vertical="center" wrapText="1"/>
    </xf>
    <xf numFmtId="0" fontId="20" fillId="25" borderId="80" xfId="0" applyNumberFormat="1" applyFont="1" applyFill="1" applyBorder="1" applyAlignment="1">
      <alignment horizontal="right" vertical="center" wrapText="1"/>
    </xf>
    <xf numFmtId="0" fontId="91" fillId="25" borderId="83" xfId="0" applyNumberFormat="1" applyFont="1" applyFill="1" applyBorder="1" applyAlignment="1">
      <alignment horizontal="center" vertical="center" wrapText="1"/>
    </xf>
    <xf numFmtId="0" fontId="20" fillId="25" borderId="0" xfId="0" applyNumberFormat="1" applyFont="1" applyFill="1" applyBorder="1" applyAlignment="1">
      <alignment horizontal="center" vertical="center"/>
    </xf>
    <xf numFmtId="0" fontId="20" fillId="0" borderId="168" xfId="0" applyNumberFormat="1" applyFont="1" applyBorder="1" applyAlignment="1">
      <alignment horizontal="center" vertical="center"/>
    </xf>
    <xf numFmtId="0" fontId="20" fillId="0" borderId="169" xfId="0" applyNumberFormat="1" applyFont="1" applyBorder="1" applyAlignment="1">
      <alignment horizontal="center" vertical="center"/>
    </xf>
    <xf numFmtId="0" fontId="20" fillId="0" borderId="128" xfId="0" applyNumberFormat="1" applyFont="1" applyBorder="1" applyAlignment="1">
      <alignment horizontal="center" vertical="center"/>
    </xf>
    <xf numFmtId="0" fontId="20" fillId="0" borderId="170" xfId="0" applyNumberFormat="1" applyFont="1" applyBorder="1" applyAlignment="1">
      <alignment horizontal="center" vertical="center" shrinkToFit="1"/>
    </xf>
    <xf numFmtId="0" fontId="20" fillId="0" borderId="169" xfId="0" applyNumberFormat="1" applyFont="1" applyBorder="1" applyAlignment="1">
      <alignment horizontal="center" vertical="center" shrinkToFit="1"/>
    </xf>
    <xf numFmtId="0" fontId="20" fillId="0" borderId="171" xfId="0" applyNumberFormat="1" applyFont="1" applyBorder="1" applyAlignment="1">
      <alignment horizontal="center" vertical="center" shrinkToFit="1"/>
    </xf>
    <xf numFmtId="0" fontId="20" fillId="0" borderId="168" xfId="0" applyNumberFormat="1" applyFont="1" applyFill="1" applyBorder="1" applyAlignment="1">
      <alignment horizontal="center" vertical="center"/>
    </xf>
    <xf numFmtId="0" fontId="20" fillId="0" borderId="169" xfId="0" applyNumberFormat="1" applyFont="1" applyFill="1" applyBorder="1" applyAlignment="1">
      <alignment horizontal="center" vertical="center"/>
    </xf>
    <xf numFmtId="0" fontId="20" fillId="0" borderId="128" xfId="0" applyNumberFormat="1" applyFont="1" applyFill="1" applyBorder="1" applyAlignment="1">
      <alignment horizontal="center" vertical="center"/>
    </xf>
    <xf numFmtId="0" fontId="20" fillId="0" borderId="170" xfId="0" applyNumberFormat="1" applyFont="1" applyFill="1" applyBorder="1" applyAlignment="1">
      <alignment horizontal="center" vertical="center"/>
    </xf>
    <xf numFmtId="0" fontId="24" fillId="0" borderId="170" xfId="0" applyNumberFormat="1" applyFont="1" applyFill="1" applyBorder="1" applyAlignment="1">
      <alignment horizontal="center" vertical="center" wrapText="1"/>
    </xf>
    <xf numFmtId="0" fontId="24" fillId="0" borderId="169" xfId="0" applyNumberFormat="1" applyFont="1" applyFill="1" applyBorder="1" applyAlignment="1">
      <alignment horizontal="center" vertical="center" wrapText="1"/>
    </xf>
    <xf numFmtId="0" fontId="24" fillId="0" borderId="171" xfId="0" applyNumberFormat="1" applyFont="1" applyFill="1" applyBorder="1" applyAlignment="1">
      <alignment horizontal="center" vertical="center" wrapText="1"/>
    </xf>
    <xf numFmtId="0" fontId="20" fillId="25" borderId="172" xfId="0" applyNumberFormat="1" applyFont="1" applyFill="1" applyBorder="1" applyAlignment="1">
      <alignment horizontal="right" vertical="center" wrapText="1"/>
    </xf>
    <xf numFmtId="0" fontId="20" fillId="25" borderId="153" xfId="0" applyNumberFormat="1" applyFont="1" applyFill="1" applyBorder="1" applyAlignment="1">
      <alignment horizontal="right" vertical="center" wrapText="1"/>
    </xf>
    <xf numFmtId="0" fontId="20" fillId="25" borderId="154" xfId="0" applyNumberFormat="1" applyFont="1" applyFill="1" applyBorder="1" applyAlignment="1">
      <alignment horizontal="right" vertical="center" wrapText="1"/>
    </xf>
    <xf numFmtId="0" fontId="20" fillId="25" borderId="173" xfId="0" applyNumberFormat="1" applyFont="1" applyFill="1" applyBorder="1" applyAlignment="1">
      <alignment horizontal="center" vertical="center" wrapText="1"/>
    </xf>
    <xf numFmtId="0" fontId="20" fillId="25" borderId="153" xfId="0" applyNumberFormat="1" applyFont="1" applyFill="1" applyBorder="1" applyAlignment="1">
      <alignment horizontal="center" vertical="center" wrapText="1"/>
    </xf>
    <xf numFmtId="0" fontId="20" fillId="25" borderId="174" xfId="0" applyNumberFormat="1" applyFont="1" applyFill="1" applyBorder="1" applyAlignment="1">
      <alignment horizontal="center" vertical="center" wrapText="1"/>
    </xf>
    <xf numFmtId="0" fontId="20" fillId="35" borderId="172" xfId="0" applyNumberFormat="1" applyFont="1" applyFill="1" applyBorder="1" applyAlignment="1">
      <alignment horizontal="left" vertical="center"/>
    </xf>
    <xf numFmtId="0" fontId="20" fillId="35" borderId="153" xfId="0" applyNumberFormat="1" applyFont="1" applyFill="1" applyBorder="1" applyAlignment="1">
      <alignment horizontal="left" vertical="center"/>
    </xf>
    <xf numFmtId="0" fontId="20" fillId="25" borderId="173" xfId="0" applyNumberFormat="1" applyFont="1" applyFill="1" applyBorder="1" applyAlignment="1">
      <alignment horizontal="center" vertical="center"/>
    </xf>
    <xf numFmtId="0" fontId="20" fillId="25" borderId="153" xfId="0" applyNumberFormat="1" applyFont="1" applyFill="1" applyBorder="1" applyAlignment="1">
      <alignment horizontal="center" vertical="center"/>
    </xf>
    <xf numFmtId="0" fontId="20" fillId="25" borderId="154" xfId="0" applyNumberFormat="1" applyFont="1" applyFill="1" applyBorder="1" applyAlignment="1">
      <alignment horizontal="center" vertical="center"/>
    </xf>
    <xf numFmtId="0" fontId="20" fillId="25" borderId="17" xfId="0" applyNumberFormat="1" applyFont="1" applyFill="1" applyBorder="1" applyAlignment="1">
      <alignment horizontal="center" vertical="center"/>
    </xf>
    <xf numFmtId="0" fontId="20" fillId="25" borderId="83" xfId="0" applyNumberFormat="1" applyFont="1" applyFill="1" applyBorder="1" applyAlignment="1">
      <alignment horizontal="center" vertical="center"/>
    </xf>
    <xf numFmtId="0" fontId="91" fillId="25" borderId="173" xfId="0" applyNumberFormat="1" applyFont="1" applyFill="1" applyBorder="1" applyAlignment="1">
      <alignment horizontal="center" vertical="center"/>
    </xf>
    <xf numFmtId="0" fontId="91" fillId="25" borderId="153" xfId="0" applyNumberFormat="1" applyFont="1" applyFill="1" applyBorder="1" applyAlignment="1">
      <alignment horizontal="center" vertical="center"/>
    </xf>
    <xf numFmtId="0" fontId="91" fillId="25" borderId="174" xfId="0" applyNumberFormat="1" applyFont="1" applyFill="1" applyBorder="1" applyAlignment="1">
      <alignment horizontal="center" vertical="center"/>
    </xf>
    <xf numFmtId="0" fontId="20" fillId="25" borderId="175" xfId="0" applyNumberFormat="1" applyFont="1" applyFill="1" applyBorder="1" applyAlignment="1">
      <alignment horizontal="center" vertical="center"/>
    </xf>
    <xf numFmtId="0" fontId="20" fillId="25" borderId="117" xfId="0" applyNumberFormat="1" applyFont="1" applyFill="1" applyBorder="1" applyAlignment="1">
      <alignment horizontal="center" vertical="center"/>
    </xf>
    <xf numFmtId="0" fontId="91" fillId="25" borderId="176" xfId="0" applyNumberFormat="1" applyFont="1" applyFill="1" applyBorder="1" applyAlignment="1">
      <alignment vertical="center" wrapText="1"/>
    </xf>
    <xf numFmtId="0" fontId="91" fillId="25" borderId="117" xfId="0" applyNumberFormat="1" applyFont="1" applyFill="1" applyBorder="1" applyAlignment="1">
      <alignment vertical="center" wrapText="1"/>
    </xf>
    <xf numFmtId="0" fontId="91" fillId="25" borderId="161" xfId="0" applyNumberFormat="1" applyFont="1" applyFill="1" applyBorder="1" applyAlignment="1">
      <alignment vertical="center" wrapText="1"/>
    </xf>
    <xf numFmtId="0" fontId="14" fillId="0" borderId="52" xfId="0" applyNumberFormat="1" applyFont="1" applyFill="1" applyBorder="1" applyAlignment="1">
      <alignment horizontal="center" vertical="center" wrapText="1"/>
    </xf>
    <xf numFmtId="0" fontId="14" fillId="0" borderId="73" xfId="0" applyNumberFormat="1" applyFont="1" applyFill="1" applyBorder="1" applyAlignment="1">
      <alignment horizontal="center" vertical="center"/>
    </xf>
    <xf numFmtId="0" fontId="14" fillId="0" borderId="74" xfId="0" applyNumberFormat="1" applyFont="1" applyFill="1" applyBorder="1" applyAlignment="1">
      <alignment horizontal="center" vertical="center"/>
    </xf>
    <xf numFmtId="0" fontId="4" fillId="0" borderId="52" xfId="0" applyNumberFormat="1" applyFont="1" applyBorder="1" applyAlignment="1">
      <alignment horizontal="center" vertical="center"/>
    </xf>
    <xf numFmtId="0" fontId="4" fillId="0" borderId="73" xfId="0" applyNumberFormat="1" applyFont="1" applyBorder="1" applyAlignment="1">
      <alignment horizontal="center" vertical="center"/>
    </xf>
    <xf numFmtId="0" fontId="4" fillId="0" borderId="74" xfId="0" applyNumberFormat="1" applyFont="1" applyBorder="1" applyAlignment="1">
      <alignment horizontal="center" vertical="center"/>
    </xf>
    <xf numFmtId="0" fontId="20" fillId="25" borderId="172" xfId="0" applyNumberFormat="1" applyFont="1" applyFill="1" applyBorder="1" applyAlignment="1">
      <alignment horizontal="center" vertical="center"/>
    </xf>
    <xf numFmtId="0" fontId="20" fillId="25" borderId="150" xfId="0" applyNumberFormat="1" applyFont="1" applyFill="1" applyBorder="1" applyAlignment="1">
      <alignment horizontal="center" vertical="center"/>
    </xf>
    <xf numFmtId="0" fontId="91" fillId="25" borderId="177" xfId="0" applyNumberFormat="1" applyFont="1" applyFill="1" applyBorder="1" applyAlignment="1">
      <alignment vertical="center" wrapText="1"/>
    </xf>
    <xf numFmtId="0" fontId="91" fillId="25" borderId="150" xfId="0" applyNumberFormat="1" applyFont="1" applyFill="1" applyBorder="1" applyAlignment="1">
      <alignment vertical="center" wrapText="1"/>
    </xf>
    <xf numFmtId="0" fontId="91" fillId="25" borderId="178" xfId="0" applyNumberFormat="1" applyFont="1" applyFill="1" applyBorder="1" applyAlignment="1">
      <alignment vertical="center" wrapText="1"/>
    </xf>
    <xf numFmtId="0" fontId="20" fillId="25" borderId="103" xfId="0" applyNumberFormat="1" applyFont="1" applyFill="1" applyBorder="1" applyAlignment="1">
      <alignment horizontal="center" vertical="center"/>
    </xf>
    <xf numFmtId="0" fontId="20" fillId="25" borderId="67" xfId="0" applyNumberFormat="1" applyFont="1" applyFill="1" applyBorder="1" applyAlignment="1">
      <alignment horizontal="center" vertical="center"/>
    </xf>
    <xf numFmtId="0" fontId="91" fillId="25" borderId="119" xfId="0" applyNumberFormat="1" applyFont="1" applyFill="1" applyBorder="1" applyAlignment="1">
      <alignment vertical="center" wrapText="1"/>
    </xf>
    <xf numFmtId="0" fontId="91" fillId="25" borderId="67" xfId="0" applyNumberFormat="1" applyFont="1" applyFill="1" applyBorder="1" applyAlignment="1">
      <alignment vertical="center" wrapText="1"/>
    </xf>
    <xf numFmtId="0" fontId="91" fillId="25" borderId="167" xfId="0" applyNumberFormat="1" applyFont="1" applyFill="1" applyBorder="1" applyAlignment="1">
      <alignment vertical="center" wrapText="1"/>
    </xf>
    <xf numFmtId="0" fontId="20" fillId="25" borderId="176" xfId="0" applyNumberFormat="1" applyFont="1" applyFill="1" applyBorder="1" applyAlignment="1">
      <alignment vertical="center" shrinkToFit="1"/>
    </xf>
    <xf numFmtId="0" fontId="20" fillId="25" borderId="117" xfId="0" applyNumberFormat="1" applyFont="1" applyFill="1" applyBorder="1" applyAlignment="1">
      <alignment vertical="center" shrinkToFit="1"/>
    </xf>
    <xf numFmtId="0" fontId="20" fillId="25" borderId="152" xfId="0" applyNumberFormat="1" applyFont="1" applyFill="1" applyBorder="1" applyAlignment="1">
      <alignment vertical="center" shrinkToFit="1"/>
    </xf>
    <xf numFmtId="0" fontId="20" fillId="25" borderId="176" xfId="0" applyNumberFormat="1" applyFont="1" applyFill="1" applyBorder="1" applyAlignment="1">
      <alignment horizontal="left" vertical="center" shrinkToFit="1"/>
    </xf>
    <xf numFmtId="0" fontId="20" fillId="25" borderId="117" xfId="0" applyNumberFormat="1" applyFont="1" applyFill="1" applyBorder="1" applyAlignment="1">
      <alignment horizontal="left" vertical="center" shrinkToFit="1"/>
    </xf>
    <xf numFmtId="0" fontId="20" fillId="25" borderId="161" xfId="0" applyNumberFormat="1" applyFont="1" applyFill="1" applyBorder="1" applyAlignment="1">
      <alignment horizontal="left" vertical="center" shrinkToFit="1"/>
    </xf>
    <xf numFmtId="0" fontId="82" fillId="0" borderId="0" xfId="0" applyFont="1" applyBorder="1" applyAlignment="1">
      <alignment horizontal="center" vertical="center"/>
    </xf>
    <xf numFmtId="0" fontId="4" fillId="0" borderId="179" xfId="0" applyNumberFormat="1" applyFont="1" applyBorder="1" applyAlignment="1">
      <alignment horizontal="left" vertical="center"/>
    </xf>
    <xf numFmtId="0" fontId="4" fillId="0" borderId="148" xfId="0" applyNumberFormat="1" applyFont="1" applyBorder="1" applyAlignment="1">
      <alignment horizontal="left" vertical="center"/>
    </xf>
    <xf numFmtId="0" fontId="4" fillId="0" borderId="180" xfId="0" applyNumberFormat="1" applyFont="1" applyBorder="1" applyAlignment="1">
      <alignment horizontal="left" vertical="center"/>
    </xf>
    <xf numFmtId="0" fontId="14" fillId="0" borderId="182" xfId="0" applyFont="1" applyBorder="1" applyAlignment="1">
      <alignment horizontal="left"/>
    </xf>
    <xf numFmtId="0" fontId="14" fillId="0" borderId="68" xfId="0" applyFont="1" applyBorder="1" applyAlignment="1">
      <alignment horizontal="left"/>
    </xf>
    <xf numFmtId="0" fontId="20" fillId="25" borderId="177" xfId="0" applyNumberFormat="1" applyFont="1" applyFill="1" applyBorder="1" applyAlignment="1">
      <alignment vertical="center" shrinkToFit="1"/>
    </xf>
    <xf numFmtId="0" fontId="20" fillId="25" borderId="150" xfId="0" applyNumberFormat="1" applyFont="1" applyFill="1" applyBorder="1" applyAlignment="1">
      <alignment vertical="center" shrinkToFit="1"/>
    </xf>
    <xf numFmtId="0" fontId="20" fillId="25" borderId="151" xfId="0" applyNumberFormat="1" applyFont="1" applyFill="1" applyBorder="1" applyAlignment="1">
      <alignment vertical="center" shrinkToFit="1"/>
    </xf>
    <xf numFmtId="0" fontId="20" fillId="25" borderId="173" xfId="0" applyNumberFormat="1" applyFont="1" applyFill="1" applyBorder="1" applyAlignment="1">
      <alignment horizontal="left" vertical="center" shrinkToFit="1"/>
    </xf>
    <xf numFmtId="0" fontId="20" fillId="25" borderId="153" xfId="0" applyNumberFormat="1" applyFont="1" applyFill="1" applyBorder="1" applyAlignment="1">
      <alignment horizontal="left" vertical="center" shrinkToFit="1"/>
    </xf>
    <xf numFmtId="0" fontId="20" fillId="25" borderId="174" xfId="0" applyNumberFormat="1" applyFont="1" applyFill="1" applyBorder="1" applyAlignment="1">
      <alignment horizontal="left" vertical="center" shrinkToFit="1"/>
    </xf>
    <xf numFmtId="0" fontId="20" fillId="25" borderId="119" xfId="0" applyNumberFormat="1" applyFont="1" applyFill="1" applyBorder="1" applyAlignment="1">
      <alignment vertical="center" shrinkToFit="1"/>
    </xf>
    <xf numFmtId="0" fontId="20" fillId="25" borderId="67" xfId="0" applyNumberFormat="1" applyFont="1" applyFill="1" applyBorder="1" applyAlignment="1">
      <alignment vertical="center" shrinkToFit="1"/>
    </xf>
    <xf numFmtId="0" fontId="20" fillId="25" borderId="96" xfId="0" applyNumberFormat="1" applyFont="1" applyFill="1" applyBorder="1" applyAlignment="1">
      <alignment vertical="center" shrinkToFit="1"/>
    </xf>
    <xf numFmtId="0" fontId="20" fillId="25" borderId="119" xfId="0" applyNumberFormat="1" applyFont="1" applyFill="1" applyBorder="1" applyAlignment="1">
      <alignment horizontal="left" vertical="center" shrinkToFit="1"/>
    </xf>
    <xf numFmtId="0" fontId="20" fillId="25" borderId="67" xfId="0" applyNumberFormat="1" applyFont="1" applyFill="1" applyBorder="1" applyAlignment="1">
      <alignment horizontal="left" vertical="center" shrinkToFit="1"/>
    </xf>
    <xf numFmtId="0" fontId="20" fillId="25" borderId="167" xfId="0" applyNumberFormat="1" applyFont="1" applyFill="1" applyBorder="1" applyAlignment="1">
      <alignment horizontal="left" vertical="center" shrinkToFit="1"/>
    </xf>
    <xf numFmtId="0" fontId="24" fillId="35" borderId="44" xfId="0" applyNumberFormat="1" applyFont="1" applyFill="1" applyBorder="1" applyAlignment="1">
      <alignment horizontal="center" vertical="center"/>
    </xf>
    <xf numFmtId="0" fontId="24" fillId="35" borderId="33" xfId="0" applyNumberFormat="1" applyFont="1" applyFill="1" applyBorder="1" applyAlignment="1">
      <alignment horizontal="center" vertical="center"/>
    </xf>
    <xf numFmtId="0" fontId="14" fillId="0" borderId="91" xfId="0" applyFont="1" applyBorder="1" applyAlignment="1">
      <alignment horizontal="center" vertical="center"/>
    </xf>
    <xf numFmtId="0" fontId="14" fillId="0" borderId="25" xfId="0" applyFont="1" applyBorder="1" applyAlignment="1">
      <alignment horizontal="center" vertical="center"/>
    </xf>
    <xf numFmtId="49" fontId="20" fillId="25" borderId="181" xfId="0" applyNumberFormat="1" applyFont="1" applyFill="1" applyBorder="1" applyAlignment="1">
      <alignment horizontal="left" vertical="center"/>
    </xf>
    <xf numFmtId="49" fontId="20" fillId="25" borderId="97" xfId="0" applyNumberFormat="1" applyFont="1" applyFill="1" applyBorder="1" applyAlignment="1">
      <alignment horizontal="left" vertical="center"/>
    </xf>
    <xf numFmtId="0" fontId="24" fillId="0" borderId="13" xfId="0" applyNumberFormat="1" applyFont="1" applyBorder="1" applyAlignment="1">
      <alignment horizontal="left" vertical="center"/>
    </xf>
    <xf numFmtId="0" fontId="24" fillId="0" borderId="25" xfId="0" applyNumberFormat="1" applyFont="1" applyBorder="1" applyAlignment="1">
      <alignment horizontal="left" vertical="center"/>
    </xf>
    <xf numFmtId="0" fontId="24" fillId="0" borderId="26" xfId="0" applyNumberFormat="1" applyFont="1" applyBorder="1" applyAlignment="1">
      <alignment horizontal="left" vertical="center"/>
    </xf>
    <xf numFmtId="0" fontId="24" fillId="0" borderId="133" xfId="0" applyNumberFormat="1" applyFont="1" applyBorder="1" applyAlignment="1">
      <alignment horizontal="left" vertical="center"/>
    </xf>
    <xf numFmtId="0" fontId="24" fillId="0" borderId="68" xfId="0" applyNumberFormat="1" applyFont="1" applyBorder="1" applyAlignment="1">
      <alignment horizontal="left" vertical="center"/>
    </xf>
    <xf numFmtId="0" fontId="24" fillId="0" borderId="75" xfId="0" applyNumberFormat="1" applyFont="1" applyBorder="1" applyAlignment="1">
      <alignment horizontal="left" vertical="center"/>
    </xf>
    <xf numFmtId="0" fontId="14" fillId="0" borderId="175" xfId="0" applyNumberFormat="1" applyFont="1" applyBorder="1" applyAlignment="1">
      <alignment horizontal="center" vertical="top"/>
    </xf>
    <xf numFmtId="0" fontId="14" fillId="0" borderId="117" xfId="0" applyNumberFormat="1" applyFont="1" applyBorder="1" applyAlignment="1">
      <alignment horizontal="center" vertical="top"/>
    </xf>
    <xf numFmtId="49" fontId="20" fillId="25" borderId="160" xfId="0" applyNumberFormat="1" applyFont="1" applyFill="1" applyBorder="1" applyAlignment="1">
      <alignment horizontal="left" vertical="top"/>
    </xf>
    <xf numFmtId="49" fontId="20" fillId="25" borderId="65" xfId="0" applyNumberFormat="1" applyFont="1" applyFill="1" applyBorder="1" applyAlignment="1">
      <alignment horizontal="left" vertical="top"/>
    </xf>
    <xf numFmtId="0" fontId="14" fillId="35" borderId="130" xfId="0" applyNumberFormat="1" applyFont="1" applyFill="1" applyBorder="1" applyAlignment="1">
      <alignment horizontal="center" vertical="center"/>
    </xf>
    <xf numFmtId="0" fontId="14" fillId="35" borderId="131" xfId="0" applyNumberFormat="1" applyFont="1" applyFill="1" applyBorder="1" applyAlignment="1">
      <alignment horizontal="center" vertical="center"/>
    </xf>
    <xf numFmtId="0" fontId="14" fillId="35" borderId="166" xfId="0" applyNumberFormat="1" applyFont="1" applyFill="1" applyBorder="1" applyAlignment="1">
      <alignment horizontal="center" vertical="center"/>
    </xf>
    <xf numFmtId="0" fontId="14" fillId="0" borderId="185" xfId="0" applyFont="1" applyBorder="1" applyAlignment="1">
      <alignment horizontal="center" vertical="center"/>
    </xf>
    <xf numFmtId="0" fontId="14" fillId="0" borderId="162" xfId="0" applyFont="1" applyBorder="1" applyAlignment="1">
      <alignment horizontal="center" vertical="center"/>
    </xf>
    <xf numFmtId="49" fontId="20" fillId="25" borderId="162" xfId="0" applyNumberFormat="1" applyFont="1" applyFill="1" applyBorder="1" applyAlignment="1">
      <alignment vertical="center"/>
    </xf>
    <xf numFmtId="49" fontId="20" fillId="25" borderId="163" xfId="0" applyNumberFormat="1" applyFont="1" applyFill="1" applyBorder="1" applyAlignment="1">
      <alignment vertical="center"/>
    </xf>
    <xf numFmtId="0" fontId="24" fillId="0" borderId="164" xfId="0" applyNumberFormat="1" applyFont="1" applyBorder="1" applyAlignment="1">
      <alignment horizontal="center" vertical="center"/>
    </xf>
    <xf numFmtId="0" fontId="24" fillId="0" borderId="36" xfId="0" applyNumberFormat="1" applyFont="1" applyBorder="1" applyAlignment="1">
      <alignment horizontal="center" vertical="center"/>
    </xf>
    <xf numFmtId="0" fontId="24" fillId="35" borderId="36" xfId="0" applyNumberFormat="1" applyFont="1" applyFill="1" applyBorder="1" applyAlignment="1">
      <alignment horizontal="center" vertical="center"/>
    </xf>
    <xf numFmtId="0" fontId="24" fillId="35" borderId="165" xfId="0" applyNumberFormat="1" applyFont="1" applyFill="1" applyBorder="1" applyAlignment="1">
      <alignment horizontal="center" vertical="center"/>
    </xf>
    <xf numFmtId="0" fontId="20" fillId="0" borderId="183" xfId="0" applyNumberFormat="1" applyFont="1" applyBorder="1" applyAlignment="1">
      <alignment horizontal="center" vertical="top"/>
    </xf>
    <xf numFmtId="0" fontId="20" fillId="0" borderId="118" xfId="0" applyNumberFormat="1" applyFont="1" applyBorder="1" applyAlignment="1">
      <alignment horizontal="center" vertical="top"/>
    </xf>
    <xf numFmtId="0" fontId="20" fillId="0" borderId="82" xfId="0" applyNumberFormat="1" applyFont="1" applyBorder="1" applyAlignment="1">
      <alignment horizontal="center" vertical="top"/>
    </xf>
    <xf numFmtId="0" fontId="20" fillId="0" borderId="35" xfId="0" applyNumberFormat="1" applyFont="1" applyBorder="1" applyAlignment="1">
      <alignment horizontal="center" vertical="top"/>
    </xf>
    <xf numFmtId="49" fontId="20" fillId="25" borderId="118" xfId="0" applyNumberFormat="1" applyFont="1" applyFill="1" applyBorder="1" applyAlignment="1">
      <alignment horizontal="left" vertical="top"/>
    </xf>
    <xf numFmtId="49" fontId="20" fillId="25" borderId="184" xfId="0" applyNumberFormat="1" applyFont="1" applyFill="1" applyBorder="1" applyAlignment="1">
      <alignment horizontal="left" vertical="top"/>
    </xf>
    <xf numFmtId="0" fontId="24" fillId="0" borderId="24" xfId="0" applyNumberFormat="1" applyFont="1" applyBorder="1" applyAlignment="1">
      <alignment horizontal="center" vertical="center"/>
    </xf>
    <xf numFmtId="0" fontId="24" fillId="0" borderId="44" xfId="0" applyNumberFormat="1" applyFont="1" applyBorder="1" applyAlignment="1">
      <alignment horizontal="center" vertical="center"/>
    </xf>
    <xf numFmtId="49" fontId="91" fillId="25" borderId="35" xfId="0" applyNumberFormat="1" applyFont="1" applyFill="1" applyBorder="1" applyAlignment="1">
      <alignment vertical="center"/>
    </xf>
    <xf numFmtId="49" fontId="91" fillId="25" borderId="43" xfId="0" applyNumberFormat="1" applyFont="1" applyFill="1" applyBorder="1" applyAlignment="1">
      <alignment vertical="center"/>
    </xf>
    <xf numFmtId="0" fontId="14" fillId="35" borderId="91" xfId="0" applyNumberFormat="1" applyFont="1" applyFill="1" applyBorder="1" applyAlignment="1">
      <alignment horizontal="center" vertical="center"/>
    </xf>
    <xf numFmtId="0" fontId="14" fillId="35" borderId="25" xfId="0" applyNumberFormat="1" applyFont="1" applyFill="1" applyBorder="1" applyAlignment="1">
      <alignment horizontal="center" vertical="center"/>
    </xf>
    <xf numFmtId="0" fontId="14" fillId="35" borderId="57" xfId="0" applyNumberFormat="1" applyFont="1" applyFill="1" applyBorder="1" applyAlignment="1">
      <alignment horizontal="center" vertical="center"/>
    </xf>
    <xf numFmtId="0" fontId="14" fillId="35" borderId="68" xfId="0" applyNumberFormat="1" applyFont="1" applyFill="1" applyBorder="1" applyAlignment="1">
      <alignment horizontal="center" vertical="center"/>
    </xf>
    <xf numFmtId="0" fontId="14" fillId="0" borderId="25" xfId="0" applyNumberFormat="1" applyFont="1" applyBorder="1" applyAlignment="1">
      <alignment horizontal="right" vertical="center"/>
    </xf>
    <xf numFmtId="0" fontId="14" fillId="0" borderId="68" xfId="0" applyNumberFormat="1" applyFont="1" applyBorder="1" applyAlignment="1">
      <alignment horizontal="right" vertical="center"/>
    </xf>
    <xf numFmtId="0" fontId="14" fillId="0" borderId="25" xfId="0" applyNumberFormat="1" applyFont="1" applyBorder="1" applyAlignment="1">
      <alignment horizontal="center" vertical="center"/>
    </xf>
    <xf numFmtId="0" fontId="14" fillId="0" borderId="68" xfId="0" applyNumberFormat="1" applyFont="1" applyBorder="1" applyAlignment="1">
      <alignment horizontal="center" vertical="center"/>
    </xf>
    <xf numFmtId="0" fontId="14" fillId="0" borderId="25" xfId="0" applyNumberFormat="1" applyFont="1" applyBorder="1" applyAlignment="1">
      <alignment vertical="center"/>
    </xf>
    <xf numFmtId="0" fontId="14" fillId="0" borderId="68" xfId="0" applyNumberFormat="1" applyFont="1" applyBorder="1" applyAlignment="1">
      <alignment vertical="center"/>
    </xf>
    <xf numFmtId="0" fontId="14" fillId="35" borderId="92" xfId="0" applyNumberFormat="1" applyFont="1" applyFill="1" applyBorder="1" applyAlignment="1">
      <alignment horizontal="center" vertical="center"/>
    </xf>
    <xf numFmtId="0" fontId="14" fillId="35" borderId="93" xfId="0" applyNumberFormat="1" applyFont="1" applyFill="1" applyBorder="1" applyAlignment="1">
      <alignment horizontal="center" vertical="center"/>
    </xf>
    <xf numFmtId="0" fontId="14" fillId="0" borderId="32" xfId="0" applyNumberFormat="1" applyFont="1" applyBorder="1" applyAlignment="1">
      <alignment horizontal="center" vertical="center"/>
    </xf>
    <xf numFmtId="0" fontId="14" fillId="0" borderId="44" xfId="0" applyNumberFormat="1" applyFont="1" applyBorder="1" applyAlignment="1">
      <alignment horizontal="center" vertical="center"/>
    </xf>
    <xf numFmtId="0" fontId="14" fillId="0" borderId="33" xfId="0" applyNumberFormat="1" applyFont="1" applyBorder="1" applyAlignment="1">
      <alignment horizontal="center" vertical="center"/>
    </xf>
    <xf numFmtId="0" fontId="24" fillId="0" borderId="24" xfId="0" applyNumberFormat="1" applyFont="1" applyBorder="1" applyAlignment="1">
      <alignment horizontal="center" vertical="center" shrinkToFit="1"/>
    </xf>
    <xf numFmtId="0" fontId="24" fillId="0" borderId="44" xfId="0" applyNumberFormat="1" applyFont="1" applyBorder="1" applyAlignment="1">
      <alignment horizontal="center" vertical="center" shrinkToFit="1"/>
    </xf>
    <xf numFmtId="0" fontId="91" fillId="0" borderId="0" xfId="0" applyNumberFormat="1" applyFont="1" applyBorder="1" applyAlignment="1">
      <alignment horizontal="center" vertical="center"/>
    </xf>
    <xf numFmtId="0" fontId="91" fillId="0" borderId="68" xfId="0" applyNumberFormat="1" applyFont="1" applyFill="1" applyBorder="1" applyAlignment="1">
      <alignment horizontal="center" vertical="center"/>
    </xf>
    <xf numFmtId="0" fontId="14" fillId="0" borderId="185" xfId="0" applyNumberFormat="1" applyFont="1" applyBorder="1" applyAlignment="1">
      <alignment horizontal="center" vertical="center"/>
    </xf>
    <xf numFmtId="0" fontId="14" fillId="0" borderId="162" xfId="0" applyNumberFormat="1" applyFont="1" applyBorder="1" applyAlignment="1">
      <alignment horizontal="center" vertical="center"/>
    </xf>
    <xf numFmtId="0" fontId="14" fillId="0" borderId="163" xfId="0" applyNumberFormat="1" applyFont="1" applyBorder="1" applyAlignment="1">
      <alignment horizontal="center" vertical="center"/>
    </xf>
    <xf numFmtId="0" fontId="20" fillId="35" borderId="185" xfId="0" applyNumberFormat="1" applyFont="1" applyFill="1" applyBorder="1" applyAlignment="1">
      <alignment vertical="center"/>
    </xf>
    <xf numFmtId="0" fontId="20" fillId="35" borderId="162" xfId="0" applyNumberFormat="1" applyFont="1" applyFill="1" applyBorder="1" applyAlignment="1">
      <alignment vertical="center"/>
    </xf>
    <xf numFmtId="0" fontId="20" fillId="35" borderId="163" xfId="0" applyNumberFormat="1" applyFont="1" applyFill="1" applyBorder="1" applyAlignment="1">
      <alignment vertical="center"/>
    </xf>
    <xf numFmtId="0" fontId="20" fillId="0" borderId="183" xfId="0" applyNumberFormat="1" applyFont="1" applyBorder="1" applyAlignment="1">
      <alignment horizontal="center" vertical="center"/>
    </xf>
    <xf numFmtId="0" fontId="20" fillId="0" borderId="118" xfId="0" applyNumberFormat="1" applyFont="1" applyBorder="1" applyAlignment="1">
      <alignment horizontal="center" vertical="center"/>
    </xf>
    <xf numFmtId="0" fontId="20" fillId="0" borderId="184" xfId="0" applyNumberFormat="1" applyFont="1" applyBorder="1" applyAlignment="1">
      <alignment horizontal="center" vertical="center"/>
    </xf>
    <xf numFmtId="0" fontId="20" fillId="0" borderId="82" xfId="0" applyNumberFormat="1" applyFont="1" applyBorder="1" applyAlignment="1">
      <alignment horizontal="center" vertical="center"/>
    </xf>
    <xf numFmtId="0" fontId="20" fillId="0" borderId="35" xfId="0" applyNumberFormat="1" applyFont="1" applyBorder="1" applyAlignment="1">
      <alignment horizontal="center" vertical="center"/>
    </xf>
    <xf numFmtId="0" fontId="20" fillId="0" borderId="43" xfId="0" applyNumberFormat="1" applyFont="1" applyBorder="1" applyAlignment="1">
      <alignment horizontal="center" vertical="center"/>
    </xf>
    <xf numFmtId="0" fontId="20" fillId="35" borderId="183" xfId="0" applyNumberFormat="1" applyFont="1" applyFill="1" applyBorder="1" applyAlignment="1">
      <alignment vertical="center"/>
    </xf>
    <xf numFmtId="0" fontId="20" fillId="35" borderId="118" xfId="0" applyNumberFormat="1" applyFont="1" applyFill="1" applyBorder="1" applyAlignment="1">
      <alignment vertical="center"/>
    </xf>
    <xf numFmtId="0" fontId="20" fillId="35" borderId="184" xfId="0" applyNumberFormat="1" applyFont="1" applyFill="1" applyBorder="1" applyAlignment="1">
      <alignment vertical="center"/>
    </xf>
    <xf numFmtId="0" fontId="20" fillId="35" borderId="82" xfId="0" applyNumberFormat="1" applyFont="1" applyFill="1" applyBorder="1" applyAlignment="1">
      <alignment vertical="center"/>
    </xf>
    <xf numFmtId="0" fontId="20" fillId="35" borderId="35" xfId="0" applyNumberFormat="1" applyFont="1" applyFill="1" applyBorder="1" applyAlignment="1">
      <alignment vertical="center"/>
    </xf>
    <xf numFmtId="0" fontId="20" fillId="35" borderId="43" xfId="0" applyNumberFormat="1" applyFont="1" applyFill="1" applyBorder="1" applyAlignment="1">
      <alignment vertical="center"/>
    </xf>
    <xf numFmtId="0" fontId="4" fillId="0" borderId="164" xfId="0" applyNumberFormat="1" applyFont="1" applyBorder="1" applyAlignment="1">
      <alignment horizontal="center" vertical="center"/>
    </xf>
    <xf numFmtId="0" fontId="4" fillId="0" borderId="36" xfId="0" applyNumberFormat="1" applyFont="1" applyBorder="1" applyAlignment="1">
      <alignment horizontal="center" vertical="center"/>
    </xf>
    <xf numFmtId="0" fontId="4" fillId="0" borderId="165" xfId="0" applyNumberFormat="1" applyFont="1" applyBorder="1" applyAlignment="1">
      <alignment horizontal="center" vertical="center"/>
    </xf>
    <xf numFmtId="0" fontId="4" fillId="0" borderId="0" xfId="0" applyFont="1" applyAlignment="1">
      <alignment horizontal="right" vertical="center"/>
    </xf>
    <xf numFmtId="0" fontId="14" fillId="0" borderId="68" xfId="0" applyFont="1" applyBorder="1" applyAlignment="1">
      <alignment horizontal="right" vertical="center"/>
    </xf>
    <xf numFmtId="0" fontId="14" fillId="0" borderId="52" xfId="0" applyFont="1" applyBorder="1" applyAlignment="1">
      <alignment horizontal="center" vertical="center"/>
    </xf>
    <xf numFmtId="0" fontId="14" fillId="0" borderId="73" xfId="0" applyFont="1" applyBorder="1" applyAlignment="1">
      <alignment horizontal="center" vertical="center"/>
    </xf>
    <xf numFmtId="0" fontId="14" fillId="0" borderId="74" xfId="0" applyFont="1" applyBorder="1" applyAlignment="1">
      <alignment horizontal="center" vertical="center"/>
    </xf>
    <xf numFmtId="0" fontId="4" fillId="0" borderId="155" xfId="0" applyFont="1" applyBorder="1" applyAlignment="1">
      <alignment horizontal="center" vertical="center"/>
    </xf>
    <xf numFmtId="0" fontId="4" fillId="0" borderId="186" xfId="0" applyFont="1" applyBorder="1" applyAlignment="1">
      <alignment horizontal="center" vertical="center"/>
    </xf>
    <xf numFmtId="0" fontId="4" fillId="0" borderId="187" xfId="0" applyFont="1" applyBorder="1" applyAlignment="1">
      <alignment horizontal="center" vertical="center"/>
    </xf>
    <xf numFmtId="0" fontId="98" fillId="0" borderId="13" xfId="0" applyFont="1" applyBorder="1" applyAlignment="1">
      <alignment horizontal="center" vertical="center" wrapText="1"/>
    </xf>
    <xf numFmtId="0" fontId="98" fillId="0" borderId="92" xfId="0" applyFont="1" applyBorder="1" applyAlignment="1">
      <alignment horizontal="center" vertical="center" wrapText="1"/>
    </xf>
    <xf numFmtId="0" fontId="98" fillId="0" borderId="16" xfId="0" applyFont="1" applyBorder="1" applyAlignment="1">
      <alignment horizontal="center" vertical="center" wrapText="1"/>
    </xf>
    <xf numFmtId="0" fontId="98" fillId="0" borderId="80" xfId="0" applyFont="1" applyBorder="1" applyAlignment="1">
      <alignment horizontal="center" vertical="center" wrapText="1"/>
    </xf>
    <xf numFmtId="0" fontId="98" fillId="0" borderId="48" xfId="0" applyFont="1" applyBorder="1" applyAlignment="1">
      <alignment horizontal="center" vertical="center" wrapText="1"/>
    </xf>
    <xf numFmtId="0" fontId="98" fillId="0" borderId="156" xfId="0" applyFont="1" applyBorder="1" applyAlignment="1">
      <alignment horizontal="center" vertical="center" wrapText="1"/>
    </xf>
    <xf numFmtId="0" fontId="98" fillId="0" borderId="173" xfId="0" applyFont="1" applyBorder="1" applyAlignment="1">
      <alignment vertical="center" wrapText="1"/>
    </xf>
    <xf numFmtId="0" fontId="98" fillId="0" borderId="154" xfId="0" applyFont="1" applyBorder="1" applyAlignment="1">
      <alignment vertical="center" wrapText="1"/>
    </xf>
    <xf numFmtId="0" fontId="98" fillId="0" borderId="188" xfId="0" applyFont="1" applyBorder="1" applyAlignment="1">
      <alignment horizontal="justify" vertical="center" wrapText="1"/>
    </xf>
    <xf numFmtId="0" fontId="98" fillId="0" borderId="46" xfId="0" applyFont="1" applyBorder="1" applyAlignment="1">
      <alignment horizontal="justify" vertical="center" wrapText="1"/>
    </xf>
    <xf numFmtId="0" fontId="98" fillId="0" borderId="16" xfId="0" applyFont="1" applyBorder="1" applyAlignment="1">
      <alignment vertical="center" wrapText="1"/>
    </xf>
    <xf numFmtId="0" fontId="98" fillId="0" borderId="80" xfId="0" applyFont="1" applyBorder="1" applyAlignment="1">
      <alignment vertical="center" wrapText="1"/>
    </xf>
    <xf numFmtId="0" fontId="98" fillId="0" borderId="13" xfId="0" applyFont="1" applyBorder="1" applyAlignment="1">
      <alignment vertical="center" wrapText="1"/>
    </xf>
    <xf numFmtId="0" fontId="98" fillId="0" borderId="92" xfId="0" applyFont="1" applyBorder="1" applyAlignment="1">
      <alignment vertical="center" wrapText="1"/>
    </xf>
    <xf numFmtId="0" fontId="98" fillId="0" borderId="48" xfId="0" applyFont="1" applyBorder="1" applyAlignment="1">
      <alignment horizontal="justify" vertical="center" wrapText="1"/>
    </xf>
    <xf numFmtId="0" fontId="98" fillId="0" borderId="47" xfId="0" applyFont="1" applyBorder="1" applyAlignment="1">
      <alignment horizontal="justify" vertical="center" wrapText="1"/>
    </xf>
    <xf numFmtId="0" fontId="98" fillId="0" borderId="17" xfId="0" applyFont="1" applyBorder="1" applyAlignment="1">
      <alignment vertical="center" wrapText="1"/>
    </xf>
    <xf numFmtId="0" fontId="98" fillId="0" borderId="83" xfId="0" applyFont="1" applyBorder="1" applyAlignment="1">
      <alignment vertical="center" wrapText="1"/>
    </xf>
    <xf numFmtId="0" fontId="100" fillId="0" borderId="52" xfId="88" applyFont="1" applyBorder="1" applyAlignment="1">
      <alignment horizontal="center" vertical="top" wrapText="1"/>
    </xf>
    <xf numFmtId="0" fontId="100" fillId="0" borderId="73" xfId="88" applyFont="1" applyBorder="1" applyAlignment="1">
      <alignment horizontal="center" vertical="top" wrapText="1"/>
    </xf>
    <xf numFmtId="0" fontId="100" fillId="0" borderId="74" xfId="88" applyFont="1" applyBorder="1" applyAlignment="1">
      <alignment horizontal="center" vertical="top" wrapText="1"/>
    </xf>
    <xf numFmtId="0" fontId="98" fillId="0" borderId="56" xfId="88" applyFont="1" applyBorder="1" applyAlignment="1">
      <alignment horizontal="right" vertical="top" wrapText="1"/>
    </xf>
    <xf numFmtId="0" fontId="98" fillId="0" borderId="0" xfId="88" applyFont="1" applyBorder="1" applyAlignment="1">
      <alignment horizontal="right" vertical="top" wrapText="1"/>
    </xf>
    <xf numFmtId="0" fontId="98" fillId="0" borderId="40" xfId="88" applyFont="1" applyBorder="1" applyAlignment="1">
      <alignment horizontal="right" vertical="top" wrapText="1"/>
    </xf>
    <xf numFmtId="0" fontId="135" fillId="0" borderId="56" xfId="88" applyFont="1" applyBorder="1" applyAlignment="1">
      <alignment horizontal="justify" vertical="center" wrapText="1"/>
    </xf>
    <xf numFmtId="0" fontId="135" fillId="0" borderId="0" xfId="88" applyFont="1" applyBorder="1" applyAlignment="1">
      <alignment horizontal="justify" vertical="center" wrapText="1"/>
    </xf>
    <xf numFmtId="0" fontId="135" fillId="0" borderId="40" xfId="88" applyFont="1" applyBorder="1" applyAlignment="1">
      <alignment horizontal="justify" vertical="center" wrapText="1"/>
    </xf>
    <xf numFmtId="0" fontId="102" fillId="0" borderId="56" xfId="88" applyFont="1" applyBorder="1" applyAlignment="1">
      <alignment horizontal="justify" vertical="top" wrapText="1"/>
    </xf>
    <xf numFmtId="0" fontId="102" fillId="0" borderId="0" xfId="88" applyFont="1" applyBorder="1" applyAlignment="1">
      <alignment horizontal="justify" vertical="top" wrapText="1"/>
    </xf>
    <xf numFmtId="0" fontId="102" fillId="0" borderId="40" xfId="88" applyFont="1" applyBorder="1" applyAlignment="1">
      <alignment horizontal="justify" vertical="top" wrapText="1"/>
    </xf>
    <xf numFmtId="0" fontId="103" fillId="0" borderId="56" xfId="88" applyFont="1" applyBorder="1" applyAlignment="1">
      <alignment horizontal="justify" vertical="top" wrapText="1"/>
    </xf>
    <xf numFmtId="0" fontId="103" fillId="0" borderId="0" xfId="88" applyFont="1" applyBorder="1" applyAlignment="1">
      <alignment horizontal="justify" vertical="top" wrapText="1"/>
    </xf>
    <xf numFmtId="0" fontId="103" fillId="0" borderId="40" xfId="88" applyFont="1" applyBorder="1" applyAlignment="1">
      <alignment horizontal="justify" vertical="top" wrapText="1"/>
    </xf>
    <xf numFmtId="0" fontId="101" fillId="0" borderId="40" xfId="88" applyFont="1" applyBorder="1" applyAlignment="1">
      <alignment horizontal="justify" vertical="top" wrapText="1"/>
    </xf>
    <xf numFmtId="0" fontId="101" fillId="0" borderId="0" xfId="88" applyFont="1" applyBorder="1" applyAlignment="1">
      <alignment vertical="center" wrapText="1"/>
    </xf>
    <xf numFmtId="0" fontId="105" fillId="0" borderId="56" xfId="88" applyFont="1" applyBorder="1" applyAlignment="1">
      <alignment horizontal="justify" vertical="top" wrapText="1"/>
    </xf>
    <xf numFmtId="0" fontId="105" fillId="0" borderId="0" xfId="88" applyFont="1" applyBorder="1" applyAlignment="1">
      <alignment horizontal="justify" vertical="top" wrapText="1"/>
    </xf>
    <xf numFmtId="0" fontId="105" fillId="0" borderId="40" xfId="88" applyFont="1" applyBorder="1" applyAlignment="1">
      <alignment horizontal="justify" vertical="top" wrapText="1"/>
    </xf>
    <xf numFmtId="0" fontId="107" fillId="0" borderId="170" xfId="88" applyFont="1" applyBorder="1" applyAlignment="1">
      <alignment horizontal="justify" vertical="center" wrapText="1"/>
    </xf>
    <xf numFmtId="0" fontId="107" fillId="0" borderId="169" xfId="88" applyFont="1" applyBorder="1" applyAlignment="1">
      <alignment horizontal="justify" vertical="center" wrapText="1"/>
    </xf>
    <xf numFmtId="0" fontId="107" fillId="0" borderId="171" xfId="88" applyFont="1" applyBorder="1" applyAlignment="1">
      <alignment horizontal="justify" vertical="center" wrapText="1"/>
    </xf>
    <xf numFmtId="0" fontId="106" fillId="42" borderId="219" xfId="88" applyFont="1" applyFill="1" applyBorder="1" applyAlignment="1">
      <alignment horizontal="center" vertical="center" textRotation="255" wrapText="1"/>
    </xf>
    <xf numFmtId="0" fontId="106" fillId="42" borderId="87" xfId="88" applyFont="1" applyFill="1" applyBorder="1" applyAlignment="1">
      <alignment horizontal="center" vertical="center" textRotation="255" wrapText="1"/>
    </xf>
    <xf numFmtId="0" fontId="106" fillId="42" borderId="230" xfId="88" applyFont="1" applyFill="1" applyBorder="1" applyAlignment="1">
      <alignment horizontal="center" vertical="center" textRotation="255" wrapText="1"/>
    </xf>
    <xf numFmtId="0" fontId="102" fillId="0" borderId="0" xfId="88" applyFont="1" applyBorder="1" applyAlignment="1">
      <alignment horizontal="center" vertical="center" wrapText="1"/>
    </xf>
    <xf numFmtId="0" fontId="102" fillId="0" borderId="80" xfId="88" applyFont="1" applyBorder="1" applyAlignment="1">
      <alignment horizontal="center" vertical="center" wrapText="1"/>
    </xf>
    <xf numFmtId="0" fontId="102" fillId="0" borderId="35" xfId="88" applyFont="1" applyBorder="1" applyAlignment="1">
      <alignment horizontal="center" vertical="center" wrapText="1"/>
    </xf>
    <xf numFmtId="0" fontId="102" fillId="0" borderId="83" xfId="88" applyFont="1" applyBorder="1" applyAlignment="1">
      <alignment horizontal="center" vertical="center" wrapText="1"/>
    </xf>
    <xf numFmtId="0" fontId="103" fillId="0" borderId="0" xfId="88" applyFont="1" applyBorder="1" applyAlignment="1">
      <alignment vertical="center" wrapText="1"/>
    </xf>
    <xf numFmtId="0" fontId="98" fillId="0" borderId="220" xfId="88" applyFont="1" applyBorder="1" applyAlignment="1">
      <alignment horizontal="center" vertical="center" wrapText="1"/>
    </xf>
    <xf numFmtId="0" fontId="98" fillId="0" borderId="35" xfId="88" applyFont="1" applyBorder="1" applyAlignment="1">
      <alignment horizontal="center" vertical="center" wrapText="1"/>
    </xf>
    <xf numFmtId="0" fontId="98" fillId="0" borderId="221" xfId="88" applyFont="1" applyBorder="1" applyAlignment="1">
      <alignment horizontal="center" vertical="center" wrapText="1"/>
    </xf>
    <xf numFmtId="0" fontId="101" fillId="0" borderId="56" xfId="88" applyFont="1" applyBorder="1" applyAlignment="1">
      <alignment horizontal="center" vertical="top" wrapText="1"/>
    </xf>
    <xf numFmtId="0" fontId="101" fillId="0" borderId="0" xfId="88" applyFont="1" applyBorder="1" applyAlignment="1">
      <alignment horizontal="center" vertical="top" wrapText="1"/>
    </xf>
    <xf numFmtId="0" fontId="101" fillId="0" borderId="25" xfId="88" applyFont="1" applyBorder="1" applyAlignment="1">
      <alignment horizontal="justify" vertical="center" wrapText="1"/>
    </xf>
    <xf numFmtId="0" fontId="101" fillId="0" borderId="92" xfId="88" applyFont="1" applyBorder="1" applyAlignment="1">
      <alignment horizontal="justify" vertical="center" wrapText="1"/>
    </xf>
    <xf numFmtId="0" fontId="102" fillId="42" borderId="16" xfId="88" applyFont="1" applyFill="1" applyBorder="1" applyAlignment="1">
      <alignment horizontal="center" vertical="center" wrapText="1"/>
    </xf>
    <xf numFmtId="0" fontId="102" fillId="42" borderId="17" xfId="88" applyFont="1" applyFill="1" applyBorder="1" applyAlignment="1">
      <alignment horizontal="center" vertical="center" wrapText="1"/>
    </xf>
    <xf numFmtId="0" fontId="104" fillId="0" borderId="13" xfId="88" applyFont="1" applyBorder="1" applyAlignment="1">
      <alignment horizontal="center" vertical="center" wrapText="1"/>
    </xf>
    <xf numFmtId="0" fontId="101" fillId="0" borderId="25" xfId="88" applyFont="1" applyBorder="1" applyAlignment="1">
      <alignment horizontal="center" vertical="center" wrapText="1"/>
    </xf>
    <xf numFmtId="0" fontId="101" fillId="0" borderId="92" xfId="88" applyFont="1" applyBorder="1" applyAlignment="1">
      <alignment horizontal="center" vertical="center" wrapText="1"/>
    </xf>
    <xf numFmtId="0" fontId="101" fillId="0" borderId="17" xfId="88" applyFont="1" applyBorder="1" applyAlignment="1">
      <alignment horizontal="center" vertical="center" wrapText="1"/>
    </xf>
    <xf numFmtId="0" fontId="101" fillId="0" borderId="35" xfId="88" applyFont="1" applyBorder="1" applyAlignment="1">
      <alignment horizontal="center" vertical="center" wrapText="1"/>
    </xf>
    <xf numFmtId="0" fontId="101" fillId="0" borderId="83" xfId="88" applyFont="1" applyBorder="1" applyAlignment="1">
      <alignment horizontal="center" vertical="center" wrapText="1"/>
    </xf>
    <xf numFmtId="0" fontId="102" fillId="42" borderId="13" xfId="88" applyFont="1" applyFill="1" applyBorder="1" applyAlignment="1">
      <alignment horizontal="center" vertical="center" wrapText="1"/>
    </xf>
    <xf numFmtId="0" fontId="102" fillId="42" borderId="92" xfId="88" applyFont="1" applyFill="1" applyBorder="1" applyAlignment="1">
      <alignment horizontal="center" vertical="center" wrapText="1"/>
    </xf>
    <xf numFmtId="0" fontId="102" fillId="42" borderId="83" xfId="88" applyFont="1" applyFill="1" applyBorder="1" applyAlignment="1">
      <alignment horizontal="center" vertical="center" wrapText="1"/>
    </xf>
    <xf numFmtId="0" fontId="101" fillId="0" borderId="13" xfId="88" applyFont="1" applyBorder="1" applyAlignment="1">
      <alignment horizontal="center" vertical="center" wrapText="1"/>
    </xf>
    <xf numFmtId="0" fontId="101" fillId="0" borderId="92" xfId="88" applyFont="1" applyBorder="1" applyAlignment="1">
      <alignment horizontal="left" vertical="center" wrapText="1"/>
    </xf>
    <xf numFmtId="0" fontId="101" fillId="0" borderId="83" xfId="88" applyFont="1" applyBorder="1" applyAlignment="1">
      <alignment horizontal="left" vertical="center" wrapText="1"/>
    </xf>
    <xf numFmtId="0" fontId="112" fillId="0" borderId="0" xfId="88" applyFont="1" applyBorder="1" applyAlignment="1">
      <alignment horizontal="right" vertical="center" textRotation="255" wrapText="1"/>
    </xf>
    <xf numFmtId="0" fontId="103" fillId="0" borderId="25" xfId="88" applyFont="1" applyBorder="1" applyAlignment="1">
      <alignment horizontal="left" vertical="center" wrapText="1"/>
    </xf>
    <xf numFmtId="0" fontId="103" fillId="0" borderId="92" xfId="88" applyFont="1" applyBorder="1" applyAlignment="1">
      <alignment horizontal="left" vertical="center" wrapText="1"/>
    </xf>
    <xf numFmtId="0" fontId="103" fillId="0" borderId="0" xfId="88" applyFont="1" applyBorder="1" applyAlignment="1">
      <alignment horizontal="left" vertical="center" wrapText="1"/>
    </xf>
    <xf numFmtId="0" fontId="103" fillId="0" borderId="80" xfId="88" applyFont="1" applyBorder="1" applyAlignment="1">
      <alignment horizontal="left" vertical="center" wrapText="1"/>
    </xf>
    <xf numFmtId="0" fontId="103" fillId="0" borderId="35" xfId="88" applyFont="1" applyBorder="1" applyAlignment="1">
      <alignment horizontal="left" vertical="center" wrapText="1"/>
    </xf>
    <xf numFmtId="0" fontId="103" fillId="0" borderId="83" xfId="88" applyFont="1" applyBorder="1" applyAlignment="1">
      <alignment horizontal="left" vertical="center" wrapText="1"/>
    </xf>
    <xf numFmtId="0" fontId="98" fillId="0" borderId="35" xfId="88" applyFont="1" applyBorder="1" applyAlignment="1">
      <alignment horizontal="left" vertical="center" wrapText="1"/>
    </xf>
    <xf numFmtId="0" fontId="98" fillId="0" borderId="35" xfId="88" applyFont="1" applyBorder="1" applyAlignment="1">
      <alignment horizontal="center" vertical="center" shrinkToFit="1"/>
    </xf>
    <xf numFmtId="0" fontId="98" fillId="0" borderId="221" xfId="88" applyFont="1" applyBorder="1" applyAlignment="1">
      <alignment horizontal="center" vertical="center" shrinkToFit="1"/>
    </xf>
    <xf numFmtId="0" fontId="113" fillId="0" borderId="220" xfId="88" applyFont="1" applyBorder="1" applyAlignment="1">
      <alignment horizontal="right" vertical="top" wrapText="1"/>
    </xf>
    <xf numFmtId="0" fontId="113" fillId="0" borderId="35" xfId="88" applyFont="1" applyBorder="1" applyAlignment="1">
      <alignment horizontal="right" vertical="top" wrapText="1"/>
    </xf>
    <xf numFmtId="0" fontId="114" fillId="0" borderId="226" xfId="88" applyFont="1" applyBorder="1" applyAlignment="1">
      <alignment horizontal="left" vertical="center" wrapText="1"/>
    </xf>
    <xf numFmtId="0" fontId="114" fillId="0" borderId="44" xfId="88" applyFont="1" applyBorder="1" applyAlignment="1">
      <alignment horizontal="left" vertical="center" wrapText="1"/>
    </xf>
    <xf numFmtId="0" fontId="114" fillId="0" borderId="227" xfId="88" applyFont="1" applyBorder="1" applyAlignment="1">
      <alignment horizontal="left" vertical="center" wrapText="1"/>
    </xf>
    <xf numFmtId="0" fontId="98" fillId="0" borderId="43" xfId="88" applyFont="1" applyBorder="1" applyAlignment="1">
      <alignment horizontal="center" vertical="center" wrapText="1"/>
    </xf>
    <xf numFmtId="0" fontId="110" fillId="0" borderId="13" xfId="88" applyFont="1" applyBorder="1" applyAlignment="1">
      <alignment horizontal="center" vertical="center" wrapText="1"/>
    </xf>
    <xf numFmtId="0" fontId="110" fillId="0" borderId="16" xfId="88" applyFont="1" applyBorder="1" applyAlignment="1">
      <alignment horizontal="center" vertical="center" wrapText="1"/>
    </xf>
    <xf numFmtId="0" fontId="110" fillId="0" borderId="17" xfId="88" applyFont="1" applyBorder="1" applyAlignment="1">
      <alignment horizontal="center" vertical="center" wrapText="1"/>
    </xf>
    <xf numFmtId="0" fontId="98" fillId="0" borderId="222" xfId="88" applyFont="1" applyBorder="1" applyAlignment="1">
      <alignment horizontal="left" vertical="center" wrapText="1"/>
    </xf>
    <xf numFmtId="0" fontId="98" fillId="0" borderId="25" xfId="88" applyFont="1" applyBorder="1" applyAlignment="1">
      <alignment horizontal="left" vertical="center" wrapText="1"/>
    </xf>
    <xf numFmtId="0" fontId="98" fillId="0" borderId="224" xfId="88" applyFont="1" applyBorder="1" applyAlignment="1">
      <alignment horizontal="left" vertical="center" wrapText="1"/>
    </xf>
    <xf numFmtId="0" fontId="98" fillId="0" borderId="0" xfId="88" applyFont="1" applyBorder="1" applyAlignment="1">
      <alignment horizontal="left" vertical="center" wrapText="1"/>
    </xf>
    <xf numFmtId="0" fontId="98" fillId="0" borderId="220" xfId="88" applyFont="1" applyBorder="1" applyAlignment="1">
      <alignment horizontal="left" vertical="center" wrapText="1"/>
    </xf>
    <xf numFmtId="0" fontId="103" fillId="0" borderId="223" xfId="88" applyFont="1" applyBorder="1" applyAlignment="1">
      <alignment horizontal="left" vertical="center" wrapText="1"/>
    </xf>
    <xf numFmtId="0" fontId="103" fillId="0" borderId="225" xfId="88" applyFont="1" applyBorder="1" applyAlignment="1">
      <alignment horizontal="left" vertical="center" wrapText="1"/>
    </xf>
    <xf numFmtId="3" fontId="111" fillId="0" borderId="222" xfId="88" applyNumberFormat="1" applyFont="1" applyBorder="1" applyAlignment="1">
      <alignment horizontal="center" wrapText="1"/>
    </xf>
    <xf numFmtId="0" fontId="111" fillId="0" borderId="223" xfId="88" applyFont="1" applyBorder="1" applyAlignment="1">
      <alignment horizontal="center"/>
    </xf>
    <xf numFmtId="0" fontId="111" fillId="0" borderId="224" xfId="88" applyFont="1" applyBorder="1" applyAlignment="1">
      <alignment horizontal="center"/>
    </xf>
    <xf numFmtId="0" fontId="111" fillId="0" borderId="225" xfId="88" applyFont="1" applyBorder="1" applyAlignment="1">
      <alignment horizontal="center"/>
    </xf>
    <xf numFmtId="0" fontId="103" fillId="0" borderId="222" xfId="88" applyFont="1" applyBorder="1" applyAlignment="1">
      <alignment horizontal="left" vertical="center" wrapText="1"/>
    </xf>
    <xf numFmtId="0" fontId="103" fillId="0" borderId="26" xfId="88" applyFont="1" applyBorder="1" applyAlignment="1">
      <alignment horizontal="left" vertical="center" wrapText="1"/>
    </xf>
    <xf numFmtId="0" fontId="103" fillId="0" borderId="224" xfId="88" applyFont="1" applyBorder="1" applyAlignment="1">
      <alignment horizontal="left" vertical="center" wrapText="1"/>
    </xf>
    <xf numFmtId="0" fontId="103" fillId="0" borderId="40" xfId="88" applyFont="1" applyBorder="1" applyAlignment="1">
      <alignment horizontal="left" vertical="center" wrapText="1"/>
    </xf>
    <xf numFmtId="0" fontId="103" fillId="0" borderId="220" xfId="88" applyFont="1" applyBorder="1" applyAlignment="1">
      <alignment horizontal="left" vertical="center" wrapText="1"/>
    </xf>
    <xf numFmtId="0" fontId="103" fillId="0" borderId="43" xfId="88" applyFont="1" applyBorder="1" applyAlignment="1">
      <alignment horizontal="left" vertical="center" wrapText="1"/>
    </xf>
    <xf numFmtId="0" fontId="98" fillId="0" borderId="221" xfId="88" applyFont="1" applyBorder="1" applyAlignment="1">
      <alignment horizontal="left" vertical="center" wrapText="1"/>
    </xf>
    <xf numFmtId="0" fontId="114" fillId="0" borderId="0" xfId="88" applyFont="1" applyBorder="1" applyAlignment="1">
      <alignment horizontal="left" vertical="center" wrapText="1"/>
    </xf>
    <xf numFmtId="0" fontId="114" fillId="0" borderId="40" xfId="88" applyFont="1" applyBorder="1" applyAlignment="1">
      <alignment horizontal="left" vertical="center" wrapText="1"/>
    </xf>
    <xf numFmtId="0" fontId="110" fillId="0" borderId="228" xfId="88" applyFont="1" applyBorder="1" applyAlignment="1">
      <alignment horizontal="center" vertical="center" wrapText="1"/>
    </xf>
    <xf numFmtId="0" fontId="110" fillId="0" borderId="229" xfId="88" applyFont="1" applyBorder="1" applyAlignment="1">
      <alignment horizontal="center" vertical="center" wrapText="1"/>
    </xf>
    <xf numFmtId="0" fontId="110" fillId="0" borderId="72" xfId="88" applyFont="1" applyBorder="1" applyAlignment="1">
      <alignment horizontal="center" vertical="center" wrapText="1"/>
    </xf>
    <xf numFmtId="0" fontId="113" fillId="0" borderId="221" xfId="88" applyFont="1" applyBorder="1" applyAlignment="1">
      <alignment horizontal="right" vertical="top" wrapText="1"/>
    </xf>
    <xf numFmtId="0" fontId="114" fillId="0" borderId="33" xfId="88" applyFont="1" applyBorder="1" applyAlignment="1">
      <alignment horizontal="left" vertical="center" wrapText="1"/>
    </xf>
    <xf numFmtId="0" fontId="111" fillId="0" borderId="222" xfId="88" applyFont="1" applyBorder="1" applyAlignment="1">
      <alignment horizontal="center" wrapText="1"/>
    </xf>
    <xf numFmtId="0" fontId="103" fillId="0" borderId="25" xfId="88" applyFont="1" applyBorder="1" applyAlignment="1">
      <alignment horizontal="center" vertical="center" wrapText="1"/>
    </xf>
    <xf numFmtId="0" fontId="103" fillId="0" borderId="223" xfId="88" applyFont="1" applyBorder="1" applyAlignment="1">
      <alignment horizontal="center" vertical="center" wrapText="1"/>
    </xf>
    <xf numFmtId="0" fontId="103" fillId="0" borderId="0" xfId="88" applyFont="1" applyBorder="1" applyAlignment="1">
      <alignment horizontal="center" vertical="center" wrapText="1"/>
    </xf>
    <xf numFmtId="0" fontId="103" fillId="0" borderId="225" xfId="88" applyFont="1" applyBorder="1" applyAlignment="1">
      <alignment horizontal="center" vertical="center" wrapText="1"/>
    </xf>
    <xf numFmtId="0" fontId="112" fillId="0" borderId="0" xfId="88" applyFont="1" applyBorder="1" applyAlignment="1">
      <alignment horizontal="center" vertical="center" textRotation="255" wrapText="1"/>
    </xf>
    <xf numFmtId="0" fontId="103" fillId="0" borderId="25" xfId="88" applyFont="1" applyBorder="1" applyAlignment="1">
      <alignment horizontal="justify" vertical="center" wrapText="1"/>
    </xf>
    <xf numFmtId="0" fontId="103" fillId="0" borderId="92" xfId="88" applyFont="1" applyBorder="1" applyAlignment="1">
      <alignment horizontal="justify" vertical="center" wrapText="1"/>
    </xf>
    <xf numFmtId="0" fontId="103" fillId="0" borderId="0" xfId="88" applyFont="1" applyBorder="1" applyAlignment="1">
      <alignment horizontal="justify" vertical="center" wrapText="1"/>
    </xf>
    <xf numFmtId="0" fontId="103" fillId="0" borderId="80" xfId="88" applyFont="1" applyBorder="1" applyAlignment="1">
      <alignment horizontal="justify" vertical="center" wrapText="1"/>
    </xf>
    <xf numFmtId="0" fontId="115" fillId="0" borderId="25" xfId="88" applyFont="1" applyBorder="1" applyAlignment="1">
      <alignment horizontal="justify" vertical="top" wrapText="1"/>
    </xf>
    <xf numFmtId="0" fontId="115" fillId="0" borderId="0" xfId="88" applyFont="1" applyBorder="1" applyAlignment="1">
      <alignment horizontal="justify" vertical="top" wrapText="1"/>
    </xf>
    <xf numFmtId="195" fontId="111" fillId="0" borderId="13" xfId="88" applyNumberFormat="1" applyFont="1" applyBorder="1" applyAlignment="1">
      <alignment horizontal="center" vertical="center" wrapText="1"/>
    </xf>
    <xf numFmtId="195" fontId="111" fillId="0" borderId="92" xfId="88" applyNumberFormat="1" applyFont="1" applyBorder="1" applyAlignment="1">
      <alignment vertical="center"/>
    </xf>
    <xf numFmtId="195" fontId="111" fillId="0" borderId="231" xfId="88" applyNumberFormat="1" applyFont="1" applyBorder="1" applyAlignment="1">
      <alignment vertical="center"/>
    </xf>
    <xf numFmtId="195" fontId="111" fillId="0" borderId="232" xfId="88" applyNumberFormat="1" applyFont="1" applyBorder="1" applyAlignment="1">
      <alignment vertical="center"/>
    </xf>
    <xf numFmtId="0" fontId="116" fillId="0" borderId="0" xfId="88" applyFont="1" applyBorder="1" applyAlignment="1">
      <alignment horizontal="justify" vertical="top" wrapText="1"/>
    </xf>
    <xf numFmtId="0" fontId="106" fillId="42" borderId="56" xfId="88" applyFont="1" applyFill="1" applyBorder="1" applyAlignment="1">
      <alignment horizontal="center" vertical="center" textRotation="255" wrapText="1"/>
    </xf>
    <xf numFmtId="0" fontId="107" fillId="0" borderId="173" xfId="88" applyFont="1" applyBorder="1" applyAlignment="1">
      <alignment horizontal="justify" vertical="center" wrapText="1"/>
    </xf>
    <xf numFmtId="0" fontId="107" fillId="0" borderId="153" xfId="88" applyFont="1" applyBorder="1" applyAlignment="1">
      <alignment horizontal="justify" vertical="center" wrapText="1"/>
    </xf>
    <xf numFmtId="0" fontId="107" fillId="0" borderId="174" xfId="88" applyFont="1" applyBorder="1" applyAlignment="1">
      <alignment horizontal="justify" vertical="center" wrapText="1"/>
    </xf>
    <xf numFmtId="0" fontId="116" fillId="0" borderId="16" xfId="88" applyFont="1" applyBorder="1" applyAlignment="1">
      <alignment horizontal="right" wrapText="1"/>
    </xf>
    <xf numFmtId="0" fontId="115" fillId="0" borderId="0" xfId="88" applyFont="1" applyBorder="1" applyAlignment="1">
      <alignment horizontal="right" wrapText="1"/>
    </xf>
    <xf numFmtId="0" fontId="115" fillId="0" borderId="40" xfId="88" applyFont="1" applyBorder="1" applyAlignment="1">
      <alignment horizontal="right" wrapText="1"/>
    </xf>
    <xf numFmtId="0" fontId="102" fillId="0" borderId="233" xfId="88" applyFont="1" applyBorder="1" applyAlignment="1">
      <alignment horizontal="justify" vertical="top" wrapText="1"/>
    </xf>
    <xf numFmtId="0" fontId="102" fillId="0" borderId="234" xfId="88" applyFont="1" applyBorder="1" applyAlignment="1">
      <alignment horizontal="justify" vertical="top" wrapText="1"/>
    </xf>
    <xf numFmtId="0" fontId="102" fillId="0" borderId="235" xfId="88" applyFont="1" applyBorder="1" applyAlignment="1">
      <alignment horizontal="justify" vertical="top" wrapText="1"/>
    </xf>
    <xf numFmtId="0" fontId="116" fillId="0" borderId="0" xfId="88" applyFont="1" applyBorder="1" applyAlignment="1">
      <alignment horizontal="center" vertical="center" shrinkToFit="1"/>
    </xf>
    <xf numFmtId="0" fontId="119" fillId="0" borderId="0" xfId="88" applyFont="1" applyBorder="1" applyAlignment="1">
      <alignment horizontal="center" vertical="center" shrinkToFit="1"/>
    </xf>
    <xf numFmtId="0" fontId="120" fillId="0" borderId="0" xfId="88" applyFont="1" applyBorder="1" applyAlignment="1">
      <alignment horizontal="center" vertical="center" wrapText="1"/>
    </xf>
    <xf numFmtId="0" fontId="98" fillId="0" borderId="56" xfId="88" applyFont="1" applyBorder="1" applyAlignment="1">
      <alignment horizontal="justify" vertical="top" wrapText="1"/>
    </xf>
    <xf numFmtId="0" fontId="98" fillId="0" borderId="0" xfId="88" applyFont="1" applyBorder="1" applyAlignment="1">
      <alignment horizontal="justify" vertical="top" wrapText="1"/>
    </xf>
    <xf numFmtId="0" fontId="98" fillId="0" borderId="40" xfId="88" applyFont="1" applyBorder="1" applyAlignment="1">
      <alignment horizontal="justify" vertical="top" wrapText="1"/>
    </xf>
    <xf numFmtId="0" fontId="126" fillId="0" borderId="170" xfId="88" applyFont="1" applyBorder="1" applyAlignment="1">
      <alignment horizontal="justify" vertical="center" wrapText="1"/>
    </xf>
    <xf numFmtId="0" fontId="14" fillId="0" borderId="237" xfId="0" applyFont="1" applyBorder="1" applyAlignment="1">
      <alignment horizontal="center" vertical="center" wrapText="1"/>
    </xf>
    <xf numFmtId="0" fontId="14" fillId="0" borderId="234" xfId="0" applyFont="1" applyBorder="1" applyAlignment="1">
      <alignment horizontal="center" vertical="center" wrapText="1"/>
    </xf>
    <xf numFmtId="0" fontId="14" fillId="0" borderId="236" xfId="0" applyFont="1" applyBorder="1" applyAlignment="1">
      <alignment horizontal="center" vertical="center" wrapText="1"/>
    </xf>
    <xf numFmtId="0" fontId="122" fillId="0" borderId="25" xfId="88" applyFont="1" applyBorder="1" applyAlignment="1">
      <alignment horizontal="justify" vertical="center" wrapText="1"/>
    </xf>
    <xf numFmtId="0" fontId="124" fillId="0" borderId="13" xfId="88" applyFont="1" applyBorder="1" applyAlignment="1">
      <alignment horizontal="center" vertical="center" wrapText="1"/>
    </xf>
    <xf numFmtId="0" fontId="125" fillId="0" borderId="25" xfId="88" applyFont="1" applyBorder="1" applyAlignment="1">
      <alignment horizontal="center" vertical="center" wrapText="1"/>
    </xf>
    <xf numFmtId="0" fontId="125" fillId="0" borderId="17" xfId="88" applyFont="1" applyBorder="1" applyAlignment="1">
      <alignment horizontal="center" vertical="center" wrapText="1"/>
    </xf>
    <xf numFmtId="0" fontId="125" fillId="0" borderId="35" xfId="88" applyFont="1" applyBorder="1" applyAlignment="1">
      <alignment horizontal="center" vertical="center" wrapText="1"/>
    </xf>
    <xf numFmtId="0" fontId="128" fillId="0" borderId="25" xfId="88" applyFont="1" applyBorder="1" applyAlignment="1">
      <alignment horizontal="left" vertical="center" wrapText="1"/>
    </xf>
    <xf numFmtId="0" fontId="14" fillId="0" borderId="68" xfId="0" applyFont="1" applyBorder="1" applyAlignment="1">
      <alignment horizontal="right" vertical="center" wrapText="1"/>
    </xf>
    <xf numFmtId="0" fontId="14" fillId="0" borderId="248" xfId="0" applyFont="1" applyBorder="1" applyAlignment="1">
      <alignment horizontal="right" vertical="center" wrapText="1"/>
    </xf>
    <xf numFmtId="0" fontId="14" fillId="0" borderId="68" xfId="0" applyFont="1" applyBorder="1" applyAlignment="1">
      <alignment horizontal="center" vertical="center" wrapText="1"/>
    </xf>
    <xf numFmtId="0" fontId="14" fillId="0" borderId="248" xfId="0" applyFont="1" applyBorder="1" applyAlignment="1">
      <alignment horizontal="center" vertical="center" wrapText="1"/>
    </xf>
    <xf numFmtId="0" fontId="129" fillId="0" borderId="247" xfId="0" applyFont="1" applyBorder="1" applyAlignment="1">
      <alignment horizontal="right" vertical="center" wrapText="1"/>
    </xf>
    <xf numFmtId="0" fontId="129" fillId="0" borderId="248" xfId="0" applyFont="1" applyBorder="1" applyAlignment="1">
      <alignment horizontal="right" vertical="center" wrapText="1"/>
    </xf>
    <xf numFmtId="0" fontId="130" fillId="0" borderId="250" xfId="0" applyFont="1" applyBorder="1" applyAlignment="1">
      <alignment horizontal="left" vertical="center" wrapText="1"/>
    </xf>
    <xf numFmtId="0" fontId="130" fillId="0" borderId="182" xfId="0" applyFont="1" applyBorder="1" applyAlignment="1">
      <alignment horizontal="left" vertical="center" wrapText="1"/>
    </xf>
    <xf numFmtId="0" fontId="130" fillId="0" borderId="251" xfId="0" applyFont="1" applyBorder="1" applyAlignment="1">
      <alignment horizontal="left" vertical="center" wrapText="1"/>
    </xf>
    <xf numFmtId="0" fontId="14" fillId="0" borderId="238" xfId="0" applyFont="1" applyBorder="1" applyAlignment="1">
      <alignment horizontal="center" vertical="center" wrapText="1"/>
    </xf>
    <xf numFmtId="0" fontId="4" fillId="0" borderId="239" xfId="0" applyFont="1" applyBorder="1" applyAlignment="1">
      <alignment horizontal="center" vertical="center" wrapText="1"/>
    </xf>
    <xf numFmtId="0" fontId="4" fillId="0" borderId="243" xfId="0" applyFont="1" applyBorder="1" applyAlignment="1">
      <alignment horizontal="center" vertical="center" wrapText="1"/>
    </xf>
    <xf numFmtId="0" fontId="4" fillId="0" borderId="246" xfId="0" applyFont="1" applyBorder="1" applyAlignment="1">
      <alignment horizontal="center" vertical="center" wrapText="1"/>
    </xf>
    <xf numFmtId="0" fontId="14" fillId="0" borderId="240" xfId="0" applyFont="1" applyBorder="1" applyAlignment="1">
      <alignment horizontal="left" vertical="center" wrapText="1"/>
    </xf>
    <xf numFmtId="0" fontId="14" fillId="0" borderId="73" xfId="0" applyFont="1" applyBorder="1" applyAlignment="1">
      <alignment horizontal="left" vertical="center" wrapText="1"/>
    </xf>
    <xf numFmtId="0" fontId="14" fillId="0" borderId="244" xfId="0" applyFont="1" applyBorder="1" applyAlignment="1">
      <alignment horizontal="left" vertical="center" wrapText="1"/>
    </xf>
    <xf numFmtId="0" fontId="14" fillId="0" borderId="0" xfId="0" applyFont="1" applyAlignment="1">
      <alignment horizontal="left" vertical="center" wrapText="1"/>
    </xf>
    <xf numFmtId="0" fontId="14" fillId="0" borderId="247" xfId="0" applyFont="1" applyBorder="1" applyAlignment="1">
      <alignment horizontal="left" vertical="center" wrapText="1"/>
    </xf>
    <xf numFmtId="0" fontId="14" fillId="0" borderId="68" xfId="0" applyFont="1" applyBorder="1" applyAlignment="1">
      <alignment horizontal="left" vertical="center" wrapText="1"/>
    </xf>
    <xf numFmtId="0" fontId="127" fillId="0" borderId="73" xfId="0" applyFont="1" applyBorder="1" applyAlignment="1">
      <alignment horizontal="left" vertical="center" wrapText="1"/>
    </xf>
    <xf numFmtId="0" fontId="127" fillId="0" borderId="241" xfId="0" applyFont="1" applyBorder="1" applyAlignment="1">
      <alignment horizontal="left" vertical="center" wrapText="1"/>
    </xf>
    <xf numFmtId="0" fontId="127" fillId="0" borderId="0" xfId="0" applyFont="1" applyAlignment="1">
      <alignment horizontal="left" vertical="center" wrapText="1"/>
    </xf>
    <xf numFmtId="0" fontId="127" fillId="0" borderId="245" xfId="0" applyFont="1" applyBorder="1" applyAlignment="1">
      <alignment horizontal="left" vertical="center" wrapText="1"/>
    </xf>
    <xf numFmtId="0" fontId="127" fillId="0" borderId="240" xfId="0" applyFont="1" applyBorder="1" applyAlignment="1">
      <alignment horizontal="left" vertical="center" wrapText="1"/>
    </xf>
    <xf numFmtId="0" fontId="127" fillId="0" borderId="244" xfId="0" applyFont="1" applyBorder="1" applyAlignment="1">
      <alignment horizontal="left" vertical="center" wrapText="1"/>
    </xf>
    <xf numFmtId="0" fontId="127" fillId="0" borderId="242" xfId="0" applyFont="1" applyBorder="1" applyAlignment="1">
      <alignment horizontal="left" vertical="center" wrapText="1"/>
    </xf>
    <xf numFmtId="0" fontId="127" fillId="0" borderId="190" xfId="0" applyFont="1" applyBorder="1" applyAlignment="1">
      <alignment horizontal="left" vertical="center" wrapText="1"/>
    </xf>
    <xf numFmtId="0" fontId="127" fillId="0" borderId="247" xfId="0" applyFont="1" applyBorder="1" applyAlignment="1">
      <alignment horizontal="left" vertical="center" wrapText="1"/>
    </xf>
    <xf numFmtId="0" fontId="127" fillId="0" borderId="249" xfId="0" applyFont="1" applyBorder="1" applyAlignment="1">
      <alignment horizontal="left" vertical="center" wrapText="1"/>
    </xf>
    <xf numFmtId="0" fontId="130" fillId="0" borderId="252" xfId="0" applyFont="1" applyBorder="1" applyAlignment="1">
      <alignment horizontal="left" vertical="center" wrapText="1"/>
    </xf>
    <xf numFmtId="0" fontId="14" fillId="0" borderId="241" xfId="0" applyFont="1" applyBorder="1" applyAlignment="1">
      <alignment horizontal="left" vertical="center" wrapText="1"/>
    </xf>
    <xf numFmtId="0" fontId="14" fillId="0" borderId="245" xfId="0" applyFont="1" applyBorder="1" applyAlignment="1">
      <alignment horizontal="left" vertical="center" wrapText="1"/>
    </xf>
    <xf numFmtId="0" fontId="14" fillId="0" borderId="73" xfId="0" applyFont="1" applyBorder="1" applyAlignment="1">
      <alignment horizontal="justify" vertical="center" wrapText="1"/>
    </xf>
    <xf numFmtId="0" fontId="14" fillId="0" borderId="241" xfId="0" applyFont="1" applyBorder="1" applyAlignment="1">
      <alignment horizontal="justify" vertical="center" wrapText="1"/>
    </xf>
    <xf numFmtId="0" fontId="14" fillId="0" borderId="0" xfId="0" applyFont="1" applyAlignment="1">
      <alignment horizontal="justify" vertical="center" wrapText="1"/>
    </xf>
    <xf numFmtId="0" fontId="14" fillId="0" borderId="245" xfId="0" applyFont="1" applyBorder="1" applyAlignment="1">
      <alignment horizontal="justify" vertical="center" wrapText="1"/>
    </xf>
    <xf numFmtId="0" fontId="128" fillId="0" borderId="25" xfId="88" applyFont="1" applyBorder="1" applyAlignment="1">
      <alignment horizontal="justify" vertical="center" wrapText="1"/>
    </xf>
    <xf numFmtId="0" fontId="131" fillId="0" borderId="52" xfId="0" applyFont="1" applyBorder="1" applyAlignment="1">
      <alignment horizontal="justify" vertical="center" wrapText="1"/>
    </xf>
    <xf numFmtId="0" fontId="131" fillId="0" borderId="73" xfId="0" applyFont="1" applyBorder="1" applyAlignment="1">
      <alignment horizontal="justify" vertical="center" wrapText="1"/>
    </xf>
    <xf numFmtId="0" fontId="131" fillId="0" borderId="74" xfId="0" applyFont="1" applyBorder="1" applyAlignment="1">
      <alignment horizontal="justify" vertical="center" wrapText="1"/>
    </xf>
    <xf numFmtId="0" fontId="131" fillId="0" borderId="253" xfId="0" applyFont="1" applyBorder="1" applyAlignment="1">
      <alignment horizontal="justify" vertical="center" wrapText="1"/>
    </xf>
    <xf numFmtId="0" fontId="131" fillId="0" borderId="158" xfId="0" applyFont="1" applyBorder="1" applyAlignment="1">
      <alignment horizontal="justify" vertical="center" wrapText="1"/>
    </xf>
    <xf numFmtId="0" fontId="131" fillId="0" borderId="254" xfId="0" applyFont="1" applyBorder="1" applyAlignment="1">
      <alignment horizontal="justify" vertical="center" wrapText="1"/>
    </xf>
    <xf numFmtId="0" fontId="129" fillId="0" borderId="52" xfId="0" applyFont="1" applyBorder="1" applyAlignment="1">
      <alignment horizontal="center" vertical="center" wrapText="1"/>
    </xf>
    <xf numFmtId="0" fontId="129" fillId="0" borderId="74" xfId="0" applyFont="1" applyBorder="1" applyAlignment="1">
      <alignment horizontal="center" vertical="center" wrapText="1"/>
    </xf>
    <xf numFmtId="0" fontId="127" fillId="0" borderId="52" xfId="0" applyFont="1" applyBorder="1" applyAlignment="1">
      <alignment horizontal="left" vertical="center" wrapText="1"/>
    </xf>
    <xf numFmtId="0" fontId="127" fillId="0" borderId="253" xfId="0" applyFont="1" applyBorder="1" applyAlignment="1">
      <alignment horizontal="left" vertical="center" wrapText="1"/>
    </xf>
    <xf numFmtId="0" fontId="127" fillId="0" borderId="255" xfId="0" applyFont="1" applyBorder="1" applyAlignment="1">
      <alignment horizontal="left" vertical="center" wrapText="1"/>
    </xf>
    <xf numFmtId="0" fontId="14" fillId="0" borderId="253" xfId="0" applyFont="1" applyBorder="1" applyAlignment="1">
      <alignment horizontal="left" vertical="center" wrapText="1"/>
    </xf>
    <xf numFmtId="0" fontId="14" fillId="0" borderId="254" xfId="0" applyFont="1" applyBorder="1" applyAlignment="1">
      <alignment horizontal="left" vertical="center" wrapText="1"/>
    </xf>
    <xf numFmtId="38" fontId="2" fillId="0" borderId="56" xfId="66" applyFont="1" applyFill="1" applyBorder="1" applyAlignment="1">
      <alignment horizontal="center"/>
    </xf>
    <xf numFmtId="38" fontId="2" fillId="0" borderId="80" xfId="66" applyFont="1" applyFill="1" applyBorder="1" applyAlignment="1">
      <alignment horizontal="center"/>
    </xf>
    <xf numFmtId="0" fontId="28" fillId="0" borderId="0" xfId="0" applyFont="1" applyAlignment="1">
      <alignment horizontal="center" vertical="center"/>
    </xf>
    <xf numFmtId="0" fontId="27" fillId="0" borderId="68" xfId="0" applyFont="1" applyBorder="1" applyAlignment="1">
      <alignment horizontal="center" vertical="center" shrinkToFit="1"/>
    </xf>
    <xf numFmtId="0" fontId="80" fillId="0" borderId="81" xfId="0" applyFont="1" applyFill="1" applyBorder="1" applyAlignment="1">
      <alignment horizontal="left" vertical="top" wrapText="1"/>
    </xf>
    <xf numFmtId="0" fontId="80" fillId="0" borderId="90" xfId="0" applyFont="1" applyFill="1" applyBorder="1" applyAlignment="1">
      <alignment horizontal="left" vertical="top" wrapText="1"/>
    </xf>
    <xf numFmtId="0" fontId="0" fillId="0" borderId="81" xfId="0" applyFill="1" applyBorder="1" applyAlignment="1">
      <alignment horizontal="left" vertical="top" wrapText="1"/>
    </xf>
    <xf numFmtId="0" fontId="2" fillId="0" borderId="81" xfId="0" applyFont="1" applyFill="1" applyBorder="1" applyAlignment="1">
      <alignment horizontal="left" vertical="top" wrapText="1"/>
    </xf>
    <xf numFmtId="0" fontId="2" fillId="0" borderId="84" xfId="0" applyFont="1" applyFill="1" applyBorder="1" applyAlignment="1">
      <alignment horizontal="left" vertical="top" wrapText="1"/>
    </xf>
    <xf numFmtId="0" fontId="74" fillId="0" borderId="81" xfId="0" applyFont="1" applyFill="1" applyBorder="1" applyAlignment="1">
      <alignment horizontal="left" vertical="top" wrapText="1"/>
    </xf>
    <xf numFmtId="0" fontId="74" fillId="0" borderId="90" xfId="0" applyFont="1" applyFill="1" applyBorder="1" applyAlignment="1">
      <alignment horizontal="left" vertical="top" wrapText="1"/>
    </xf>
    <xf numFmtId="0" fontId="24" fillId="0" borderId="0" xfId="0" applyFont="1" applyBorder="1" applyAlignment="1">
      <alignment horizontal="left" wrapText="1"/>
    </xf>
    <xf numFmtId="191" fontId="41" fillId="25" borderId="27" xfId="66" applyNumberFormat="1" applyFont="1" applyFill="1" applyBorder="1" applyAlignment="1" applyProtection="1">
      <alignment horizontal="center" vertical="center"/>
      <protection locked="0"/>
    </xf>
    <xf numFmtId="191" fontId="41" fillId="25" borderId="37" xfId="66" applyNumberFormat="1" applyFont="1" applyFill="1" applyBorder="1" applyAlignment="1" applyProtection="1">
      <alignment horizontal="center" vertical="center"/>
      <protection locked="0"/>
    </xf>
    <xf numFmtId="182" fontId="77" fillId="41" borderId="27" xfId="0" applyNumberFormat="1" applyFont="1" applyFill="1" applyBorder="1" applyAlignment="1" applyProtection="1">
      <alignment horizontal="center" vertical="center" shrinkToFit="1"/>
      <protection locked="0"/>
    </xf>
    <xf numFmtId="182" fontId="77" fillId="41" borderId="37" xfId="0" applyNumberFormat="1" applyFont="1" applyFill="1" applyBorder="1" applyAlignment="1" applyProtection="1">
      <alignment horizontal="center" vertical="center" shrinkToFit="1"/>
      <protection locked="0"/>
    </xf>
    <xf numFmtId="189" fontId="41" fillId="25" borderId="27" xfId="66" applyNumberFormat="1" applyFont="1" applyFill="1" applyBorder="1" applyAlignment="1" applyProtection="1">
      <alignment horizontal="center" vertical="center"/>
      <protection locked="0"/>
    </xf>
    <xf numFmtId="189" fontId="41" fillId="25" borderId="37" xfId="66" applyNumberFormat="1" applyFont="1" applyFill="1" applyBorder="1" applyAlignment="1" applyProtection="1">
      <alignment horizontal="center" vertical="center"/>
      <protection locked="0"/>
    </xf>
    <xf numFmtId="0" fontId="0" fillId="27" borderId="119" xfId="0" applyNumberFormat="1" applyFill="1" applyBorder="1" applyAlignment="1" applyProtection="1">
      <alignment horizontal="left" vertical="center"/>
    </xf>
    <xf numFmtId="0" fontId="2" fillId="27" borderId="67" xfId="0" applyNumberFormat="1" applyFont="1" applyFill="1" applyBorder="1" applyAlignment="1" applyProtection="1">
      <alignment horizontal="left" vertical="center"/>
    </xf>
    <xf numFmtId="0" fontId="2" fillId="27" borderId="167" xfId="0" applyNumberFormat="1" applyFont="1" applyFill="1" applyBorder="1" applyAlignment="1" applyProtection="1">
      <alignment horizontal="left" vertical="center"/>
    </xf>
    <xf numFmtId="0" fontId="22" fillId="0" borderId="38" xfId="0" applyFont="1" applyBorder="1" applyAlignment="1" applyProtection="1">
      <alignment horizontal="center" vertical="center" shrinkToFit="1"/>
    </xf>
    <xf numFmtId="0" fontId="66" fillId="0" borderId="56" xfId="0" applyFont="1" applyBorder="1" applyAlignment="1" applyProtection="1">
      <alignment horizontal="center" vertical="center" shrinkToFit="1"/>
    </xf>
    <xf numFmtId="0" fontId="66" fillId="0" borderId="0" xfId="0" applyFont="1" applyBorder="1" applyAlignment="1" applyProtection="1">
      <alignment horizontal="center" vertical="center" shrinkToFit="1"/>
    </xf>
    <xf numFmtId="0" fontId="22" fillId="0" borderId="0" xfId="0" applyFont="1" applyBorder="1" applyAlignment="1" applyProtection="1">
      <alignment horizontal="center" vertical="center"/>
    </xf>
    <xf numFmtId="0" fontId="32" fillId="34" borderId="164" xfId="0" applyFont="1" applyFill="1" applyBorder="1" applyAlignment="1" applyProtection="1">
      <alignment horizontal="distributed" vertical="center" shrinkToFit="1"/>
    </xf>
    <xf numFmtId="0" fontId="0" fillId="34" borderId="165" xfId="0" applyFill="1" applyBorder="1" applyProtection="1">
      <alignment vertical="center"/>
    </xf>
    <xf numFmtId="0" fontId="0" fillId="0" borderId="0" xfId="0" applyBorder="1" applyAlignment="1" applyProtection="1">
      <alignment horizontal="center" vertical="center"/>
    </xf>
    <xf numFmtId="0" fontId="0" fillId="0" borderId="68" xfId="0" applyBorder="1" applyAlignment="1" applyProtection="1">
      <alignment horizontal="center" vertical="center"/>
    </xf>
    <xf numFmtId="0" fontId="4" fillId="0" borderId="0" xfId="0" applyFont="1" applyBorder="1" applyAlignment="1" applyProtection="1">
      <alignment horizontal="center" vertical="center"/>
    </xf>
    <xf numFmtId="0" fontId="4" fillId="0" borderId="40" xfId="0" applyFont="1" applyBorder="1" applyAlignment="1" applyProtection="1">
      <alignment horizontal="center" vertical="center"/>
    </xf>
    <xf numFmtId="0" fontId="72" fillId="0" borderId="0" xfId="0" applyFont="1" applyFill="1" applyBorder="1" applyAlignment="1" applyProtection="1">
      <alignment horizontal="distributed" vertical="center"/>
      <protection locked="0"/>
    </xf>
    <xf numFmtId="192" fontId="76" fillId="25" borderId="0" xfId="0" applyNumberFormat="1" applyFont="1" applyFill="1" applyBorder="1" applyAlignment="1" applyProtection="1">
      <alignment horizontal="distributed" vertical="center"/>
      <protection locked="0"/>
    </xf>
    <xf numFmtId="192" fontId="76" fillId="25" borderId="40" xfId="0" applyNumberFormat="1" applyFont="1" applyFill="1" applyBorder="1" applyAlignment="1" applyProtection="1">
      <alignment horizontal="distributed" vertical="center"/>
      <protection locked="0"/>
    </xf>
    <xf numFmtId="0" fontId="72" fillId="0" borderId="0" xfId="0" applyFont="1" applyBorder="1" applyAlignment="1" applyProtection="1">
      <alignment horizontal="distributed" vertical="center"/>
    </xf>
    <xf numFmtId="0" fontId="72" fillId="0" borderId="40" xfId="0" applyFont="1" applyBorder="1" applyAlignment="1" applyProtection="1">
      <alignment horizontal="distributed" vertical="center"/>
    </xf>
    <xf numFmtId="177" fontId="11" fillId="0" borderId="0" xfId="0" applyNumberFormat="1" applyFont="1" applyBorder="1" applyAlignment="1" applyProtection="1">
      <alignment horizontal="center" vertical="center"/>
    </xf>
    <xf numFmtId="177" fontId="11" fillId="0" borderId="40" xfId="0" applyNumberFormat="1" applyFont="1" applyBorder="1" applyAlignment="1" applyProtection="1">
      <alignment horizontal="center" vertical="center"/>
    </xf>
    <xf numFmtId="177" fontId="11" fillId="0" borderId="0" xfId="0" applyNumberFormat="1" applyFont="1" applyBorder="1" applyAlignment="1" applyProtection="1">
      <alignment horizontal="distributed" vertical="center"/>
    </xf>
    <xf numFmtId="0" fontId="11" fillId="39" borderId="49" xfId="0" applyNumberFormat="1" applyFont="1" applyFill="1" applyBorder="1" applyAlignment="1" applyProtection="1">
      <alignment horizontal="left" vertical="top"/>
    </xf>
    <xf numFmtId="0" fontId="11" fillId="39" borderId="181" xfId="0" applyNumberFormat="1" applyFont="1" applyFill="1" applyBorder="1" applyAlignment="1" applyProtection="1">
      <alignment horizontal="left" vertical="top"/>
    </xf>
    <xf numFmtId="0" fontId="11" fillId="39" borderId="189" xfId="0" applyNumberFormat="1" applyFont="1" applyFill="1" applyBorder="1" applyAlignment="1" applyProtection="1">
      <alignment horizontal="left" vertical="top"/>
    </xf>
    <xf numFmtId="0" fontId="0" fillId="0" borderId="0" xfId="0" applyFill="1" applyBorder="1" applyAlignment="1" applyProtection="1">
      <alignment horizontal="center" vertical="center" shrinkToFit="1"/>
    </xf>
    <xf numFmtId="177" fontId="46" fillId="27" borderId="119" xfId="0" applyNumberFormat="1" applyFont="1" applyFill="1" applyBorder="1" applyAlignment="1" applyProtection="1">
      <alignment horizontal="center" vertical="center" shrinkToFit="1"/>
    </xf>
    <xf numFmtId="177" fontId="46" fillId="27" borderId="67" xfId="0" applyNumberFormat="1" applyFont="1" applyFill="1" applyBorder="1" applyAlignment="1" applyProtection="1">
      <alignment horizontal="center" vertical="center" shrinkToFit="1"/>
    </xf>
    <xf numFmtId="177" fontId="46" fillId="27" borderId="96" xfId="0" applyNumberFormat="1" applyFont="1" applyFill="1" applyBorder="1" applyAlignment="1" applyProtection="1">
      <alignment horizontal="center" vertical="center" shrinkToFit="1"/>
    </xf>
    <xf numFmtId="49" fontId="46" fillId="27" borderId="119" xfId="0" applyNumberFormat="1" applyFont="1" applyFill="1" applyBorder="1" applyAlignment="1" applyProtection="1">
      <alignment horizontal="center" vertical="center" shrinkToFit="1"/>
    </xf>
    <xf numFmtId="0" fontId="46" fillId="27" borderId="67" xfId="0" applyNumberFormat="1" applyFont="1" applyFill="1" applyBorder="1" applyAlignment="1" applyProtection="1">
      <alignment horizontal="center" vertical="center" shrinkToFit="1"/>
    </xf>
    <xf numFmtId="0" fontId="46" fillId="27" borderId="96" xfId="0" applyNumberFormat="1" applyFont="1" applyFill="1" applyBorder="1" applyAlignment="1" applyProtection="1">
      <alignment horizontal="center" vertical="center" shrinkToFit="1"/>
    </xf>
    <xf numFmtId="0" fontId="46" fillId="27" borderId="119" xfId="0" applyNumberFormat="1" applyFont="1" applyFill="1" applyBorder="1" applyAlignment="1" applyProtection="1">
      <alignment horizontal="center" vertical="center" shrinkToFit="1"/>
    </xf>
    <xf numFmtId="0" fontId="46" fillId="27" borderId="125" xfId="0" applyNumberFormat="1" applyFont="1" applyFill="1" applyBorder="1" applyAlignment="1" applyProtection="1">
      <alignment horizontal="center" vertical="center" shrinkToFit="1"/>
    </xf>
    <xf numFmtId="0" fontId="39" fillId="27" borderId="118" xfId="0" applyFont="1" applyFill="1" applyBorder="1" applyAlignment="1" applyProtection="1">
      <alignment horizontal="left" vertical="center" shrinkToFit="1"/>
    </xf>
    <xf numFmtId="187" fontId="35" fillId="34" borderId="190" xfId="0" applyNumberFormat="1" applyFont="1" applyFill="1" applyBorder="1" applyAlignment="1" applyProtection="1">
      <alignment horizontal="center" vertical="center" shrinkToFit="1"/>
    </xf>
    <xf numFmtId="187" fontId="35" fillId="34" borderId="191" xfId="0" applyNumberFormat="1" applyFont="1" applyFill="1" applyBorder="1" applyAlignment="1" applyProtection="1">
      <alignment horizontal="center" vertical="center" shrinkToFit="1"/>
    </xf>
    <xf numFmtId="0" fontId="49" fillId="0" borderId="192" xfId="0" applyFont="1" applyBorder="1" applyAlignment="1" applyProtection="1">
      <alignment horizontal="center" vertical="center"/>
    </xf>
    <xf numFmtId="0" fontId="49" fillId="0" borderId="193" xfId="0" applyFont="1" applyBorder="1" applyAlignment="1" applyProtection="1">
      <alignment horizontal="center" vertical="center"/>
    </xf>
    <xf numFmtId="0" fontId="0" fillId="0" borderId="194" xfId="0" applyFill="1" applyBorder="1" applyAlignment="1" applyProtection="1">
      <alignment horizontal="center" vertical="center" shrinkToFit="1"/>
    </xf>
    <xf numFmtId="0" fontId="0" fillId="0" borderId="120" xfId="0" applyFill="1" applyBorder="1" applyAlignment="1" applyProtection="1">
      <alignment horizontal="center" vertical="center" shrinkToFit="1"/>
    </xf>
    <xf numFmtId="0" fontId="5" fillId="27" borderId="27" xfId="0" applyFont="1" applyFill="1" applyBorder="1" applyAlignment="1" applyProtection="1">
      <alignment horizontal="center" vertical="center" shrinkToFit="1"/>
    </xf>
    <xf numFmtId="0" fontId="5" fillId="27" borderId="37" xfId="0" applyFont="1" applyFill="1" applyBorder="1" applyAlignment="1" applyProtection="1">
      <alignment horizontal="center" vertical="center" shrinkToFit="1"/>
    </xf>
    <xf numFmtId="187" fontId="35" fillId="34" borderId="195" xfId="0" applyNumberFormat="1" applyFont="1" applyFill="1" applyBorder="1" applyAlignment="1" applyProtection="1">
      <alignment horizontal="center" vertical="center" shrinkToFit="1"/>
    </xf>
    <xf numFmtId="178" fontId="35" fillId="34" borderId="25" xfId="0" applyNumberFormat="1" applyFont="1" applyFill="1" applyBorder="1" applyAlignment="1" applyProtection="1">
      <alignment horizontal="center" vertical="center" shrinkToFit="1"/>
    </xf>
    <xf numFmtId="178" fontId="35" fillId="34" borderId="35" xfId="0" applyNumberFormat="1" applyFont="1" applyFill="1" applyBorder="1" applyAlignment="1" applyProtection="1">
      <alignment horizontal="center" vertical="center" shrinkToFit="1"/>
    </xf>
    <xf numFmtId="0" fontId="35" fillId="27" borderId="92" xfId="0" applyNumberFormat="1" applyFont="1" applyFill="1" applyBorder="1" applyAlignment="1" applyProtection="1">
      <alignment horizontal="center" vertical="center"/>
    </xf>
    <xf numFmtId="0" fontId="35" fillId="27" borderId="83" xfId="0" applyNumberFormat="1" applyFont="1" applyFill="1" applyBorder="1" applyAlignment="1" applyProtection="1">
      <alignment horizontal="center" vertical="center"/>
    </xf>
    <xf numFmtId="0" fontId="2" fillId="0" borderId="48" xfId="0" applyFont="1" applyFill="1" applyBorder="1" applyAlignment="1" applyProtection="1">
      <alignment horizontal="right" vertical="center" shrinkToFit="1"/>
    </xf>
    <xf numFmtId="0" fontId="2" fillId="0" borderId="47" xfId="0" applyFont="1" applyFill="1" applyBorder="1" applyAlignment="1" applyProtection="1">
      <alignment horizontal="right" vertical="center" shrinkToFit="1"/>
    </xf>
    <xf numFmtId="0" fontId="12" fillId="27" borderId="160" xfId="0" applyNumberFormat="1" applyFont="1" applyFill="1" applyBorder="1" applyAlignment="1" applyProtection="1">
      <alignment horizontal="left" vertical="center"/>
    </xf>
    <xf numFmtId="0" fontId="12" fillId="27" borderId="65" xfId="0" applyNumberFormat="1" applyFont="1" applyFill="1" applyBorder="1" applyAlignment="1" applyProtection="1">
      <alignment horizontal="left" vertical="center"/>
    </xf>
    <xf numFmtId="188" fontId="35" fillId="0" borderId="25" xfId="0" applyNumberFormat="1" applyFont="1" applyFill="1" applyBorder="1" applyAlignment="1" applyProtection="1">
      <alignment horizontal="center" vertical="center" shrinkToFit="1"/>
    </xf>
    <xf numFmtId="188" fontId="35" fillId="0" borderId="35" xfId="0" applyNumberFormat="1" applyFont="1" applyFill="1" applyBorder="1" applyAlignment="1" applyProtection="1">
      <alignment horizontal="center" vertical="center" shrinkToFit="1"/>
    </xf>
    <xf numFmtId="0" fontId="12" fillId="27" borderId="196" xfId="0" applyNumberFormat="1" applyFont="1" applyFill="1" applyBorder="1" applyAlignment="1" applyProtection="1">
      <alignment horizontal="left" vertical="center"/>
    </xf>
    <xf numFmtId="0" fontId="12" fillId="27" borderId="112" xfId="0" applyNumberFormat="1" applyFont="1" applyFill="1" applyBorder="1" applyAlignment="1" applyProtection="1">
      <alignment horizontal="left" vertical="center"/>
    </xf>
    <xf numFmtId="0" fontId="12" fillId="27" borderId="159" xfId="0" applyNumberFormat="1" applyFont="1" applyFill="1" applyBorder="1" applyAlignment="1" applyProtection="1">
      <alignment horizontal="left" vertical="center"/>
    </xf>
    <xf numFmtId="0" fontId="12" fillId="27" borderId="119" xfId="0" applyNumberFormat="1" applyFont="1" applyFill="1" applyBorder="1" applyAlignment="1" applyProtection="1">
      <alignment horizontal="left" vertical="center"/>
    </xf>
    <xf numFmtId="0" fontId="12" fillId="27" borderId="67" xfId="0" applyNumberFormat="1" applyFont="1" applyFill="1" applyBorder="1" applyAlignment="1" applyProtection="1">
      <alignment horizontal="left" vertical="center"/>
    </xf>
    <xf numFmtId="0" fontId="12" fillId="27" borderId="96" xfId="0" applyNumberFormat="1" applyFont="1" applyFill="1" applyBorder="1" applyAlignment="1" applyProtection="1">
      <alignment horizontal="left" vertical="center"/>
    </xf>
    <xf numFmtId="0" fontId="0" fillId="27" borderId="67" xfId="0" applyNumberFormat="1" applyFill="1" applyBorder="1" applyAlignment="1" applyProtection="1">
      <alignment horizontal="left" vertical="center"/>
    </xf>
    <xf numFmtId="0" fontId="0" fillId="0" borderId="96" xfId="0" applyNumberFormat="1" applyBorder="1" applyAlignment="1">
      <alignment horizontal="left" vertical="center"/>
    </xf>
    <xf numFmtId="0" fontId="12" fillId="27" borderId="167" xfId="0" applyNumberFormat="1" applyFont="1" applyFill="1" applyBorder="1" applyAlignment="1" applyProtection="1">
      <alignment horizontal="left" vertical="center"/>
    </xf>
    <xf numFmtId="183" fontId="2" fillId="27" borderId="27" xfId="0" applyNumberFormat="1" applyFont="1" applyFill="1" applyBorder="1" applyAlignment="1" applyProtection="1">
      <alignment horizontal="center" vertical="center" shrinkToFit="1"/>
    </xf>
    <xf numFmtId="183" fontId="2" fillId="27" borderId="37" xfId="0" applyNumberFormat="1" applyFont="1" applyFill="1" applyBorder="1" applyAlignment="1" applyProtection="1">
      <alignment horizontal="center" vertical="center" shrinkToFit="1"/>
    </xf>
    <xf numFmtId="49" fontId="49" fillId="27" borderId="27" xfId="0" applyNumberFormat="1" applyFont="1" applyFill="1" applyBorder="1" applyAlignment="1" applyProtection="1">
      <alignment horizontal="center" vertical="center" shrinkToFit="1"/>
    </xf>
    <xf numFmtId="49" fontId="49" fillId="27" borderId="37" xfId="0" applyNumberFormat="1" applyFont="1" applyFill="1" applyBorder="1" applyAlignment="1" applyProtection="1">
      <alignment horizontal="center" vertical="center" shrinkToFit="1"/>
    </xf>
    <xf numFmtId="181" fontId="5" fillId="27" borderId="27" xfId="0" applyNumberFormat="1" applyFont="1" applyFill="1" applyBorder="1" applyAlignment="1" applyProtection="1">
      <alignment horizontal="center" vertical="center" shrinkToFit="1"/>
    </xf>
    <xf numFmtId="181" fontId="5" fillId="27" borderId="37" xfId="0" applyNumberFormat="1" applyFont="1" applyFill="1" applyBorder="1" applyAlignment="1" applyProtection="1">
      <alignment horizontal="center" vertical="center" shrinkToFit="1"/>
    </xf>
    <xf numFmtId="177" fontId="46" fillId="34" borderId="119" xfId="0" applyNumberFormat="1" applyFont="1" applyFill="1" applyBorder="1" applyAlignment="1" applyProtection="1">
      <alignment horizontal="center" vertical="center" shrinkToFit="1"/>
    </xf>
    <xf numFmtId="177" fontId="46" fillId="34" borderId="67" xfId="0" applyNumberFormat="1" applyFont="1" applyFill="1" applyBorder="1" applyAlignment="1" applyProtection="1">
      <alignment horizontal="center" vertical="center" shrinkToFit="1"/>
    </xf>
    <xf numFmtId="177" fontId="46" fillId="34" borderId="125" xfId="0" applyNumberFormat="1" applyFont="1" applyFill="1" applyBorder="1" applyAlignment="1" applyProtection="1">
      <alignment horizontal="center" vertical="center" shrinkToFit="1"/>
    </xf>
    <xf numFmtId="186" fontId="49" fillId="27" borderId="27" xfId="0" applyNumberFormat="1" applyFont="1" applyFill="1" applyBorder="1" applyAlignment="1" applyProtection="1">
      <alignment horizontal="center" vertical="center" shrinkToFit="1"/>
    </xf>
    <xf numFmtId="186" fontId="49" fillId="27" borderId="37" xfId="0" applyNumberFormat="1" applyFont="1" applyFill="1" applyBorder="1" applyAlignment="1" applyProtection="1">
      <alignment horizontal="center" vertical="center" shrinkToFit="1"/>
    </xf>
    <xf numFmtId="177" fontId="46" fillId="34" borderId="96" xfId="0" applyNumberFormat="1" applyFont="1" applyFill="1" applyBorder="1" applyAlignment="1" applyProtection="1">
      <alignment horizontal="center" vertical="center" shrinkToFit="1"/>
    </xf>
    <xf numFmtId="177" fontId="46" fillId="34" borderId="49" xfId="0" applyNumberFormat="1" applyFont="1" applyFill="1" applyBorder="1" applyAlignment="1" applyProtection="1">
      <alignment horizontal="center" vertical="center" shrinkToFit="1"/>
    </xf>
    <xf numFmtId="177" fontId="46" fillId="34" borderId="181" xfId="0" applyNumberFormat="1" applyFont="1" applyFill="1" applyBorder="1" applyAlignment="1" applyProtection="1">
      <alignment horizontal="center" vertical="center" shrinkToFit="1"/>
    </xf>
    <xf numFmtId="177" fontId="46" fillId="34" borderId="97" xfId="0" applyNumberFormat="1" applyFont="1" applyFill="1" applyBorder="1" applyAlignment="1" applyProtection="1">
      <alignment horizontal="center" vertical="center" shrinkToFit="1"/>
    </xf>
    <xf numFmtId="0" fontId="70" fillId="27" borderId="27" xfId="0" applyFont="1" applyFill="1" applyBorder="1" applyAlignment="1" applyProtection="1">
      <alignment horizontal="center" vertical="center" shrinkToFit="1"/>
    </xf>
    <xf numFmtId="0" fontId="70" fillId="27" borderId="37" xfId="0" applyFont="1" applyFill="1" applyBorder="1" applyAlignment="1" applyProtection="1">
      <alignment horizontal="center" vertical="center" shrinkToFit="1"/>
    </xf>
    <xf numFmtId="176" fontId="0" fillId="0" borderId="122" xfId="0" applyNumberFormat="1" applyBorder="1" applyAlignment="1" applyProtection="1">
      <alignment horizontal="center" vertical="center" shrinkToFit="1"/>
    </xf>
    <xf numFmtId="176" fontId="0" fillId="0" borderId="107" xfId="0" applyNumberFormat="1" applyBorder="1" applyAlignment="1" applyProtection="1">
      <alignment horizontal="center" vertical="center" shrinkToFit="1"/>
    </xf>
    <xf numFmtId="0" fontId="44" fillId="39" borderId="27" xfId="0" applyFont="1" applyFill="1" applyBorder="1" applyAlignment="1" applyProtection="1">
      <alignment horizontal="center" vertical="center" shrinkToFit="1"/>
    </xf>
    <xf numFmtId="0" fontId="44" fillId="39" borderId="37" xfId="0" applyFont="1" applyFill="1" applyBorder="1" applyAlignment="1" applyProtection="1">
      <alignment horizontal="center" vertical="center" shrinkToFit="1"/>
    </xf>
    <xf numFmtId="0" fontId="41" fillId="39" borderId="27" xfId="0" applyFont="1" applyFill="1" applyBorder="1" applyAlignment="1" applyProtection="1">
      <alignment horizontal="center" vertical="center" shrinkToFit="1"/>
    </xf>
    <xf numFmtId="0" fontId="41" fillId="39" borderId="37" xfId="0" applyFont="1" applyFill="1" applyBorder="1" applyAlignment="1" applyProtection="1">
      <alignment horizontal="center" vertical="center" shrinkToFit="1"/>
    </xf>
    <xf numFmtId="0" fontId="78" fillId="0" borderId="197" xfId="0" applyFont="1" applyBorder="1" applyAlignment="1" applyProtection="1">
      <alignment horizontal="center" vertical="center"/>
    </xf>
    <xf numFmtId="0" fontId="78" fillId="0" borderId="193" xfId="0" applyFont="1" applyBorder="1" applyAlignment="1" applyProtection="1">
      <alignment horizontal="center" vertical="center"/>
    </xf>
    <xf numFmtId="0" fontId="2" fillId="0" borderId="27" xfId="0" applyFont="1" applyFill="1" applyBorder="1" applyAlignment="1" applyProtection="1">
      <alignment horizontal="left" vertical="center" shrinkToFit="1"/>
    </xf>
    <xf numFmtId="0" fontId="2" fillId="0" borderId="37" xfId="0" applyFont="1" applyFill="1" applyBorder="1" applyAlignment="1" applyProtection="1">
      <alignment horizontal="left" vertical="center" shrinkToFit="1"/>
    </xf>
    <xf numFmtId="0" fontId="0" fillId="0" borderId="27" xfId="0" applyFill="1" applyBorder="1" applyAlignment="1" applyProtection="1">
      <alignment horizontal="center" vertical="center" shrinkToFit="1"/>
    </xf>
    <xf numFmtId="0" fontId="0" fillId="0" borderId="37" xfId="0" applyFill="1" applyBorder="1" applyAlignment="1" applyProtection="1">
      <alignment horizontal="center" vertical="center" shrinkToFit="1"/>
    </xf>
    <xf numFmtId="0" fontId="0" fillId="0" borderId="198" xfId="0" applyBorder="1" applyAlignment="1" applyProtection="1">
      <alignment horizontal="center" vertical="center"/>
    </xf>
    <xf numFmtId="0" fontId="0" fillId="0" borderId="199" xfId="0" applyBorder="1" applyAlignment="1" applyProtection="1">
      <alignment horizontal="center" vertical="center"/>
    </xf>
    <xf numFmtId="0" fontId="5" fillId="27" borderId="27" xfId="0" applyFont="1" applyFill="1" applyBorder="1" applyAlignment="1" applyProtection="1">
      <alignment horizontal="center" vertical="center"/>
    </xf>
    <xf numFmtId="0" fontId="5" fillId="27" borderId="37" xfId="0" applyFont="1" applyFill="1" applyBorder="1" applyAlignment="1" applyProtection="1">
      <alignment horizontal="center" vertical="center"/>
    </xf>
    <xf numFmtId="0" fontId="0" fillId="0" borderId="0" xfId="0" applyBorder="1" applyAlignment="1">
      <alignment vertical="center" wrapText="1"/>
    </xf>
    <xf numFmtId="0" fontId="0" fillId="0" borderId="0" xfId="0" applyBorder="1" applyAlignment="1">
      <alignment vertical="center"/>
    </xf>
    <xf numFmtId="0" fontId="50" fillId="0" borderId="0" xfId="0" applyFont="1" applyAlignment="1">
      <alignment horizontal="center" vertical="center"/>
    </xf>
    <xf numFmtId="0" fontId="79" fillId="0" borderId="32" xfId="0" applyFont="1" applyBorder="1" applyAlignment="1">
      <alignment horizontal="distributed" vertical="center" indent="2"/>
    </xf>
    <xf numFmtId="0" fontId="79" fillId="0" borderId="28" xfId="0" applyFont="1" applyBorder="1" applyAlignment="1">
      <alignment horizontal="distributed" vertical="center" indent="2"/>
    </xf>
    <xf numFmtId="0" fontId="0" fillId="0" borderId="13" xfId="0" applyFont="1" applyBorder="1" applyAlignment="1">
      <alignment horizontal="distributed" vertical="center" indent="2"/>
    </xf>
    <xf numFmtId="0" fontId="0" fillId="0" borderId="92" xfId="0" applyFont="1" applyBorder="1" applyAlignment="1">
      <alignment horizontal="distributed" vertical="center" indent="2"/>
    </xf>
    <xf numFmtId="0" fontId="79" fillId="0" borderId="32" xfId="0" applyFont="1" applyBorder="1" applyAlignment="1">
      <alignment horizontal="center" vertical="center"/>
    </xf>
    <xf numFmtId="0" fontId="79" fillId="0" borderId="44" xfId="0" applyFont="1" applyBorder="1" applyAlignment="1">
      <alignment horizontal="center" vertical="center"/>
    </xf>
    <xf numFmtId="0" fontId="79" fillId="0" borderId="28" xfId="0" applyFont="1" applyBorder="1" applyAlignment="1">
      <alignment horizontal="center" vertical="center"/>
    </xf>
    <xf numFmtId="0" fontId="0" fillId="0" borderId="13" xfId="0" applyFont="1" applyBorder="1" applyAlignment="1">
      <alignment horizontal="center" vertical="center"/>
    </xf>
    <xf numFmtId="0" fontId="0" fillId="0" borderId="25" xfId="0" applyFont="1" applyBorder="1" applyAlignment="1">
      <alignment horizontal="center" vertical="center"/>
    </xf>
    <xf numFmtId="0" fontId="0" fillId="0" borderId="92" xfId="0" applyFont="1" applyBorder="1" applyAlignment="1">
      <alignment horizontal="center" vertical="center"/>
    </xf>
    <xf numFmtId="0" fontId="79" fillId="0" borderId="13" xfId="0" applyFont="1" applyBorder="1" applyAlignment="1">
      <alignment horizontal="distributed" vertical="center" indent="2"/>
    </xf>
    <xf numFmtId="0" fontId="79" fillId="0" borderId="92" xfId="0" applyFont="1" applyBorder="1" applyAlignment="1">
      <alignment horizontal="distributed" vertical="center" indent="2"/>
    </xf>
    <xf numFmtId="0" fontId="79" fillId="0" borderId="17" xfId="0" applyFont="1" applyBorder="1" applyAlignment="1">
      <alignment horizontal="distributed" vertical="center" indent="2"/>
    </xf>
    <xf numFmtId="0" fontId="79" fillId="0" borderId="83" xfId="0" applyFont="1" applyBorder="1" applyAlignment="1">
      <alignment horizontal="distributed" vertical="center" indent="2"/>
    </xf>
    <xf numFmtId="0" fontId="79" fillId="0" borderId="48" xfId="0" applyFont="1" applyBorder="1" applyAlignment="1">
      <alignment horizontal="distributed" vertical="distributed" indent="2"/>
    </xf>
    <xf numFmtId="0" fontId="79" fillId="0" borderId="47" xfId="0" applyFont="1" applyBorder="1" applyAlignment="1">
      <alignment horizontal="distributed" vertical="distributed" indent="2"/>
    </xf>
    <xf numFmtId="0" fontId="0" fillId="0" borderId="25" xfId="0" applyBorder="1" applyAlignment="1">
      <alignment vertical="center" wrapText="1"/>
    </xf>
    <xf numFmtId="0" fontId="0" fillId="0" borderId="25" xfId="0" applyBorder="1" applyAlignment="1">
      <alignment vertical="center"/>
    </xf>
    <xf numFmtId="182" fontId="79" fillId="0" borderId="32" xfId="66" applyNumberFormat="1" applyFont="1" applyBorder="1" applyAlignment="1">
      <alignment horizontal="right" vertical="center"/>
    </xf>
    <xf numFmtId="182" fontId="79" fillId="0" borderId="44" xfId="66" applyNumberFormat="1" applyFont="1" applyBorder="1" applyAlignment="1">
      <alignment horizontal="right" vertical="center"/>
    </xf>
    <xf numFmtId="182" fontId="79" fillId="0" borderId="28" xfId="66" applyNumberFormat="1" applyFont="1" applyBorder="1" applyAlignment="1">
      <alignment horizontal="right" vertical="center"/>
    </xf>
    <xf numFmtId="0" fontId="28" fillId="0" borderId="32" xfId="0" applyFont="1" applyBorder="1" applyAlignment="1">
      <alignment horizontal="center" vertical="center"/>
    </xf>
    <xf numFmtId="0" fontId="28" fillId="0" borderId="28" xfId="0" applyFont="1" applyBorder="1" applyAlignment="1">
      <alignment horizontal="center" vertical="center"/>
    </xf>
    <xf numFmtId="0" fontId="79" fillId="0" borderId="17" xfId="0" applyFont="1" applyBorder="1" applyAlignment="1">
      <alignment horizontal="center" vertical="center"/>
    </xf>
    <xf numFmtId="0" fontId="79" fillId="0" borderId="35" xfId="0" applyFont="1" applyBorder="1" applyAlignment="1">
      <alignment horizontal="center" vertical="center"/>
    </xf>
    <xf numFmtId="0" fontId="79" fillId="0" borderId="83" xfId="0" applyFont="1" applyBorder="1" applyAlignment="1">
      <alignment horizontal="center" vertical="center"/>
    </xf>
    <xf numFmtId="0" fontId="79" fillId="0" borderId="32" xfId="0" applyFont="1" applyBorder="1" applyAlignment="1">
      <alignment horizontal="center" vertical="center" shrinkToFit="1"/>
    </xf>
    <xf numFmtId="0" fontId="79" fillId="0" borderId="44" xfId="0" applyFont="1" applyBorder="1" applyAlignment="1">
      <alignment horizontal="center" vertical="center" shrinkToFit="1"/>
    </xf>
    <xf numFmtId="0" fontId="79" fillId="0" borderId="28" xfId="0" applyFont="1" applyBorder="1" applyAlignment="1">
      <alignment horizontal="center" vertical="center" shrinkToFit="1"/>
    </xf>
    <xf numFmtId="186" fontId="79" fillId="0" borderId="32" xfId="0" applyNumberFormat="1" applyFont="1" applyBorder="1" applyAlignment="1">
      <alignment horizontal="right" vertical="center"/>
    </xf>
    <xf numFmtId="186" fontId="79" fillId="0" borderId="44" xfId="0" applyNumberFormat="1" applyFont="1" applyBorder="1" applyAlignment="1">
      <alignment horizontal="right" vertical="center"/>
    </xf>
    <xf numFmtId="186" fontId="79" fillId="0" borderId="28" xfId="0" applyNumberFormat="1" applyFont="1" applyBorder="1" applyAlignment="1">
      <alignment horizontal="right" vertical="center"/>
    </xf>
    <xf numFmtId="182" fontId="79" fillId="0" borderId="32" xfId="0" applyNumberFormat="1" applyFont="1" applyBorder="1" applyAlignment="1">
      <alignment horizontal="right" vertical="center"/>
    </xf>
    <xf numFmtId="182" fontId="79" fillId="0" borderId="44" xfId="0" applyNumberFormat="1" applyFont="1" applyBorder="1" applyAlignment="1">
      <alignment horizontal="right" vertical="center"/>
    </xf>
    <xf numFmtId="182" fontId="79" fillId="0" borderId="28" xfId="0" applyNumberFormat="1" applyFont="1" applyBorder="1" applyAlignment="1">
      <alignment horizontal="right" vertical="center"/>
    </xf>
    <xf numFmtId="177" fontId="79" fillId="0" borderId="32" xfId="0" applyNumberFormat="1" applyFont="1" applyBorder="1" applyAlignment="1">
      <alignment horizontal="center" vertical="center"/>
    </xf>
    <xf numFmtId="177" fontId="79" fillId="0" borderId="44" xfId="0" applyNumberFormat="1" applyFont="1" applyBorder="1" applyAlignment="1">
      <alignment horizontal="center" vertical="center"/>
    </xf>
    <xf numFmtId="177" fontId="79" fillId="0" borderId="28" xfId="0" applyNumberFormat="1" applyFont="1" applyBorder="1" applyAlignment="1">
      <alignment horizontal="center" vertical="center"/>
    </xf>
    <xf numFmtId="0" fontId="50" fillId="0" borderId="0" xfId="0" applyFont="1" applyBorder="1" applyAlignment="1">
      <alignment horizontal="center" vertical="center"/>
    </xf>
    <xf numFmtId="0" fontId="50" fillId="0" borderId="35" xfId="0" applyFont="1" applyBorder="1" applyAlignment="1">
      <alignment horizontal="center" vertical="center"/>
    </xf>
    <xf numFmtId="186" fontId="31" fillId="27" borderId="27" xfId="66" applyNumberFormat="1" applyFont="1" applyFill="1" applyBorder="1" applyAlignment="1" applyProtection="1">
      <alignment horizontal="right" vertical="center" shrinkToFit="1"/>
    </xf>
    <xf numFmtId="186" fontId="31" fillId="27" borderId="167" xfId="66" applyNumberFormat="1" applyFont="1" applyFill="1" applyBorder="1" applyAlignment="1" applyProtection="1">
      <alignment horizontal="right" vertical="center" shrinkToFit="1"/>
    </xf>
    <xf numFmtId="186" fontId="31" fillId="25" borderId="27" xfId="66" applyNumberFormat="1" applyFont="1" applyFill="1" applyBorder="1" applyAlignment="1">
      <alignment horizontal="right" vertical="center" shrinkToFit="1"/>
    </xf>
    <xf numFmtId="186" fontId="31" fillId="25" borderId="167" xfId="66" applyNumberFormat="1" applyFont="1" applyFill="1" applyBorder="1" applyAlignment="1">
      <alignment horizontal="right" vertical="center" shrinkToFit="1"/>
    </xf>
    <xf numFmtId="0" fontId="11" fillId="0" borderId="119" xfId="0" applyFont="1" applyBorder="1" applyAlignment="1">
      <alignment horizontal="left" vertical="center"/>
    </xf>
    <xf numFmtId="0" fontId="11" fillId="0" borderId="67" xfId="0" applyFont="1" applyBorder="1" applyAlignment="1">
      <alignment horizontal="left" vertical="center"/>
    </xf>
    <xf numFmtId="49" fontId="35" fillId="27" borderId="200" xfId="0" applyNumberFormat="1" applyFont="1" applyFill="1" applyBorder="1" applyAlignment="1" applyProtection="1">
      <alignment horizontal="center" vertical="center" wrapText="1"/>
      <protection locked="0"/>
    </xf>
    <xf numFmtId="49" fontId="35" fillId="27" borderId="201" xfId="0" applyNumberFormat="1" applyFont="1" applyFill="1" applyBorder="1" applyAlignment="1" applyProtection="1">
      <alignment horizontal="center" vertical="center" wrapText="1"/>
      <protection locked="0"/>
    </xf>
    <xf numFmtId="0" fontId="2" fillId="0" borderId="202" xfId="0" applyNumberFormat="1" applyFont="1" applyFill="1" applyBorder="1" applyAlignment="1">
      <alignment horizontal="left" vertical="center"/>
    </xf>
    <xf numFmtId="0" fontId="2" fillId="0" borderId="73" xfId="0" applyNumberFormat="1" applyFont="1" applyFill="1" applyBorder="1" applyAlignment="1">
      <alignment horizontal="left" vertical="center"/>
    </xf>
    <xf numFmtId="0" fontId="2" fillId="0" borderId="74" xfId="0" applyNumberFormat="1" applyFont="1" applyFill="1" applyBorder="1" applyAlignment="1">
      <alignment horizontal="left" vertical="center"/>
    </xf>
    <xf numFmtId="0" fontId="45" fillId="27" borderId="203" xfId="0" applyFont="1" applyFill="1" applyBorder="1" applyAlignment="1" applyProtection="1">
      <alignment vertical="center" wrapText="1"/>
      <protection locked="0"/>
    </xf>
    <xf numFmtId="0" fontId="45" fillId="27" borderId="28" xfId="0" applyFont="1" applyFill="1" applyBorder="1" applyAlignment="1" applyProtection="1">
      <alignment vertical="center" wrapText="1"/>
      <protection locked="0"/>
    </xf>
    <xf numFmtId="0" fontId="34" fillId="28" borderId="44" xfId="0" applyFont="1" applyFill="1" applyBorder="1" applyAlignment="1" applyProtection="1">
      <alignment horizontal="center" vertical="center" wrapText="1"/>
      <protection locked="0"/>
    </xf>
    <xf numFmtId="0" fontId="34" fillId="28" borderId="33" xfId="0" applyFont="1" applyFill="1" applyBorder="1" applyAlignment="1" applyProtection="1">
      <alignment horizontal="center" vertical="center" wrapText="1"/>
      <protection locked="0"/>
    </xf>
    <xf numFmtId="0" fontId="28" fillId="27" borderId="203" xfId="0" applyNumberFormat="1" applyFont="1" applyFill="1" applyBorder="1" applyAlignment="1" applyProtection="1">
      <alignment horizontal="left" vertical="center" wrapText="1"/>
      <protection locked="0"/>
    </xf>
    <xf numFmtId="0" fontId="28" fillId="27" borderId="44" xfId="0" applyNumberFormat="1" applyFont="1" applyFill="1" applyBorder="1" applyAlignment="1">
      <alignment horizontal="left" vertical="center"/>
    </xf>
    <xf numFmtId="0" fontId="28" fillId="27" borderId="33" xfId="0" applyNumberFormat="1" applyFont="1" applyFill="1" applyBorder="1" applyAlignment="1">
      <alignment horizontal="left" vertical="center"/>
    </xf>
    <xf numFmtId="0" fontId="22" fillId="0" borderId="0" xfId="0" applyFont="1" applyBorder="1" applyAlignment="1">
      <alignment horizontal="center" vertical="center"/>
    </xf>
    <xf numFmtId="0" fontId="31" fillId="25" borderId="94" xfId="0" applyFont="1" applyFill="1" applyBorder="1" applyAlignment="1">
      <alignment horizontal="center" vertical="center" shrinkToFit="1"/>
    </xf>
    <xf numFmtId="0" fontId="31" fillId="25" borderId="204" xfId="0" applyFont="1" applyFill="1" applyBorder="1" applyAlignment="1">
      <alignment horizontal="center" vertical="center" shrinkToFit="1"/>
    </xf>
    <xf numFmtId="0" fontId="29" fillId="0" borderId="205" xfId="0" applyFont="1" applyBorder="1" applyAlignment="1">
      <alignment horizontal="center" vertical="top"/>
    </xf>
    <xf numFmtId="0" fontId="29" fillId="0" borderId="132" xfId="0" applyFont="1" applyBorder="1" applyAlignment="1">
      <alignment horizontal="center" vertical="top"/>
    </xf>
    <xf numFmtId="0" fontId="28" fillId="25" borderId="35" xfId="0" applyFont="1" applyFill="1" applyBorder="1" applyAlignment="1">
      <alignment horizontal="center" vertical="center" shrinkToFit="1"/>
    </xf>
    <xf numFmtId="0" fontId="45" fillId="0" borderId="44" xfId="0" applyFont="1" applyFill="1" applyBorder="1" applyAlignment="1">
      <alignment horizontal="left" vertical="center"/>
    </xf>
    <xf numFmtId="0" fontId="2" fillId="27" borderId="203" xfId="0" applyNumberFormat="1" applyFont="1" applyFill="1" applyBorder="1" applyAlignment="1" applyProtection="1">
      <alignment horizontal="left" vertical="center"/>
      <protection locked="0"/>
    </xf>
    <xf numFmtId="0" fontId="2" fillId="27" borderId="44" xfId="0" applyNumberFormat="1" applyFont="1" applyFill="1" applyBorder="1" applyAlignment="1" applyProtection="1">
      <alignment horizontal="left" vertical="center"/>
      <protection locked="0"/>
    </xf>
    <xf numFmtId="0" fontId="2" fillId="32" borderId="60" xfId="0" applyFont="1" applyFill="1" applyBorder="1" applyAlignment="1">
      <alignment horizontal="left" vertical="center" wrapText="1"/>
    </xf>
    <xf numFmtId="0" fontId="2" fillId="32" borderId="121" xfId="0" applyFont="1" applyFill="1" applyBorder="1" applyAlignment="1">
      <alignment horizontal="left" vertical="center" wrapText="1"/>
    </xf>
    <xf numFmtId="0" fontId="11" fillId="0" borderId="29" xfId="0" applyFont="1" applyBorder="1" applyAlignment="1">
      <alignment vertical="center" wrapText="1"/>
    </xf>
    <xf numFmtId="0" fontId="11" fillId="0" borderId="29" xfId="0" applyFont="1" applyBorder="1" applyAlignment="1">
      <alignment vertical="center"/>
    </xf>
    <xf numFmtId="0" fontId="5" fillId="0" borderId="44" xfId="0" applyFont="1" applyFill="1" applyBorder="1" applyAlignment="1">
      <alignment horizontal="center" wrapText="1" shrinkToFit="1"/>
    </xf>
    <xf numFmtId="0" fontId="5" fillId="0" borderId="33" xfId="0" applyFont="1" applyFill="1" applyBorder="1" applyAlignment="1">
      <alignment horizontal="center" wrapText="1" shrinkToFit="1"/>
    </xf>
    <xf numFmtId="0" fontId="45" fillId="0" borderId="44" xfId="0" applyFont="1" applyFill="1" applyBorder="1" applyAlignment="1" applyProtection="1">
      <alignment horizontal="left" vertical="center"/>
      <protection locked="0"/>
    </xf>
    <xf numFmtId="0" fontId="45" fillId="0" borderId="0" xfId="0" applyFont="1" applyFill="1" applyBorder="1" applyAlignment="1" applyProtection="1">
      <alignment horizontal="left" vertical="center"/>
      <protection locked="0"/>
    </xf>
    <xf numFmtId="0" fontId="12" fillId="28" borderId="44" xfId="0" applyFont="1" applyFill="1" applyBorder="1" applyAlignment="1" applyProtection="1">
      <alignment horizontal="center" vertical="center" wrapText="1"/>
      <protection locked="0"/>
    </xf>
    <xf numFmtId="0" fontId="12" fillId="28" borderId="33" xfId="0" applyFont="1" applyFill="1" applyBorder="1" applyAlignment="1" applyProtection="1">
      <alignment horizontal="center" vertical="center" wrapText="1"/>
      <protection locked="0"/>
    </xf>
    <xf numFmtId="0" fontId="45" fillId="27" borderId="203" xfId="0" applyFont="1" applyFill="1" applyBorder="1" applyAlignment="1">
      <alignment horizontal="left" vertical="center" wrapText="1"/>
    </xf>
    <xf numFmtId="0" fontId="45" fillId="27" borderId="28" xfId="0" applyFont="1" applyFill="1" applyBorder="1" applyAlignment="1">
      <alignment horizontal="left" vertical="center" wrapText="1"/>
    </xf>
    <xf numFmtId="0" fontId="67" fillId="0" borderId="56" xfId="0" applyFont="1" applyBorder="1" applyAlignment="1">
      <alignment vertical="center" shrinkToFit="1"/>
    </xf>
    <xf numFmtId="0" fontId="67" fillId="0" borderId="0" xfId="0" applyFont="1" applyBorder="1" applyAlignment="1">
      <alignment vertical="center" shrinkToFit="1"/>
    </xf>
    <xf numFmtId="186" fontId="31" fillId="27" borderId="206" xfId="66" applyNumberFormat="1" applyFont="1" applyFill="1" applyBorder="1" applyAlignment="1">
      <alignment horizontal="right" vertical="center" shrinkToFit="1"/>
    </xf>
    <xf numFmtId="186" fontId="31" fillId="27" borderId="75" xfId="66" applyNumberFormat="1" applyFont="1" applyFill="1" applyBorder="1" applyAlignment="1">
      <alignment horizontal="right" vertical="center" shrinkToFit="1"/>
    </xf>
    <xf numFmtId="186" fontId="31" fillId="37" borderId="134" xfId="66" applyNumberFormat="1" applyFont="1" applyFill="1" applyBorder="1" applyAlignment="1" applyProtection="1">
      <alignment horizontal="right" vertical="center" shrinkToFit="1"/>
    </xf>
    <xf numFmtId="186" fontId="31" fillId="37" borderId="184" xfId="66" applyNumberFormat="1" applyFont="1" applyFill="1" applyBorder="1" applyAlignment="1" applyProtection="1">
      <alignment horizontal="right" vertical="center" shrinkToFit="1"/>
    </xf>
    <xf numFmtId="186" fontId="31" fillId="41" borderId="207" xfId="66" applyNumberFormat="1" applyFont="1" applyFill="1" applyBorder="1" applyAlignment="1">
      <alignment horizontal="right" vertical="center" shrinkToFit="1"/>
    </xf>
    <xf numFmtId="186" fontId="31" fillId="41" borderId="208" xfId="66" applyNumberFormat="1" applyFont="1" applyFill="1" applyBorder="1" applyAlignment="1">
      <alignment horizontal="right" vertical="center" shrinkToFit="1"/>
    </xf>
    <xf numFmtId="177" fontId="35" fillId="25" borderId="209" xfId="0" applyNumberFormat="1" applyFont="1" applyFill="1" applyBorder="1" applyAlignment="1">
      <alignment horizontal="center" vertical="center"/>
    </xf>
    <xf numFmtId="177" fontId="35" fillId="25" borderId="126" xfId="0" applyNumberFormat="1" applyFont="1" applyFill="1" applyBorder="1" applyAlignment="1">
      <alignment horizontal="center" vertical="center"/>
    </xf>
    <xf numFmtId="177" fontId="35" fillId="25" borderId="210" xfId="0" applyNumberFormat="1" applyFont="1" applyFill="1" applyBorder="1" applyAlignment="1">
      <alignment horizontal="center" vertical="center"/>
    </xf>
    <xf numFmtId="186" fontId="31" fillId="34" borderId="27" xfId="66" applyNumberFormat="1" applyFont="1" applyFill="1" applyBorder="1" applyAlignment="1">
      <alignment horizontal="right" vertical="center" shrinkToFit="1"/>
    </xf>
    <xf numFmtId="186" fontId="31" fillId="34" borderId="167" xfId="66" applyNumberFormat="1" applyFont="1" applyFill="1" applyBorder="1" applyAlignment="1">
      <alignment horizontal="right" vertical="center" shrinkToFit="1"/>
    </xf>
    <xf numFmtId="0" fontId="45" fillId="25" borderId="181" xfId="0" applyFont="1" applyFill="1" applyBorder="1" applyAlignment="1">
      <alignment horizontal="center" vertical="center" shrinkToFit="1"/>
    </xf>
    <xf numFmtId="0" fontId="45" fillId="25" borderId="189" xfId="0" applyFont="1" applyFill="1" applyBorder="1" applyAlignment="1">
      <alignment horizontal="center" vertical="center" shrinkToFit="1"/>
    </xf>
    <xf numFmtId="0" fontId="11" fillId="0" borderId="103" xfId="0" applyFont="1" applyBorder="1" applyAlignment="1">
      <alignment horizontal="left" vertical="center"/>
    </xf>
    <xf numFmtId="0" fontId="11" fillId="0" borderId="37" xfId="0" applyFont="1" applyBorder="1" applyAlignment="1">
      <alignment horizontal="left" vertical="center"/>
    </xf>
    <xf numFmtId="0" fontId="11" fillId="0" borderId="0" xfId="0" applyFont="1" applyFill="1" applyBorder="1" applyAlignment="1">
      <alignment horizontal="left" vertical="center"/>
    </xf>
    <xf numFmtId="0" fontId="11" fillId="0" borderId="196" xfId="0" applyFont="1" applyBorder="1" applyAlignment="1">
      <alignment horizontal="left" vertical="center" shrinkToFit="1"/>
    </xf>
    <xf numFmtId="0" fontId="11" fillId="0" borderId="112" xfId="0" applyFont="1" applyBorder="1" applyAlignment="1">
      <alignment horizontal="left" vertical="center" shrinkToFit="1"/>
    </xf>
    <xf numFmtId="186" fontId="31" fillId="38" borderId="27" xfId="66" applyNumberFormat="1" applyFont="1" applyFill="1" applyBorder="1" applyAlignment="1">
      <alignment horizontal="right" vertical="center" shrinkToFit="1"/>
    </xf>
    <xf numFmtId="186" fontId="31" fillId="38" borderId="167" xfId="66" applyNumberFormat="1" applyFont="1" applyFill="1" applyBorder="1" applyAlignment="1">
      <alignment horizontal="right" vertical="center" shrinkToFit="1"/>
    </xf>
    <xf numFmtId="189" fontId="31" fillId="25" borderId="27" xfId="66" applyNumberFormat="1" applyFont="1" applyFill="1" applyBorder="1" applyAlignment="1">
      <alignment horizontal="right" vertical="center" shrinkToFit="1"/>
    </xf>
    <xf numFmtId="189" fontId="31" fillId="25" borderId="167" xfId="66" applyNumberFormat="1" applyFont="1" applyFill="1" applyBorder="1" applyAlignment="1">
      <alignment horizontal="right" vertical="center" shrinkToFit="1"/>
    </xf>
    <xf numFmtId="0" fontId="11" fillId="0" borderId="35" xfId="0" applyFont="1" applyBorder="1" applyAlignment="1">
      <alignment horizontal="center" vertical="center"/>
    </xf>
    <xf numFmtId="0" fontId="11" fillId="0" borderId="103" xfId="0" applyFont="1" applyFill="1" applyBorder="1" applyAlignment="1">
      <alignment horizontal="left" vertical="center"/>
    </xf>
    <xf numFmtId="0" fontId="11" fillId="0" borderId="37" xfId="0" applyFont="1" applyFill="1" applyBorder="1" applyAlignment="1">
      <alignment horizontal="left" vertical="center"/>
    </xf>
    <xf numFmtId="0" fontId="11" fillId="0" borderId="175" xfId="0" applyFont="1" applyBorder="1" applyAlignment="1">
      <alignment horizontal="left" vertical="center"/>
    </xf>
    <xf numFmtId="0" fontId="11" fillId="0" borderId="59" xfId="0" applyFont="1" applyBorder="1" applyAlignment="1">
      <alignment horizontal="left" vertical="center"/>
    </xf>
    <xf numFmtId="0" fontId="0" fillId="33" borderId="0" xfId="0" applyFill="1" applyBorder="1" applyAlignment="1">
      <alignment horizontal="center" vertical="center"/>
    </xf>
    <xf numFmtId="193" fontId="31" fillId="35" borderId="94" xfId="66" applyNumberFormat="1" applyFont="1" applyFill="1" applyBorder="1" applyAlignment="1" applyProtection="1">
      <alignment horizontal="right" vertical="center" shrinkToFit="1"/>
    </xf>
    <xf numFmtId="193" fontId="31" fillId="35" borderId="204" xfId="66" applyNumberFormat="1" applyFont="1" applyFill="1" applyBorder="1" applyAlignment="1" applyProtection="1">
      <alignment horizontal="right" vertical="center" shrinkToFit="1"/>
    </xf>
    <xf numFmtId="0" fontId="11" fillId="0" borderId="0" xfId="0" applyFont="1" applyBorder="1" applyAlignment="1">
      <alignment horizontal="center" vertical="center"/>
    </xf>
    <xf numFmtId="0" fontId="11" fillId="0" borderId="0" xfId="0" applyFont="1" applyBorder="1" applyAlignment="1">
      <alignment vertical="center" shrinkToFit="1"/>
    </xf>
    <xf numFmtId="0" fontId="51" fillId="0" borderId="44" xfId="0" applyFont="1" applyBorder="1" applyAlignment="1">
      <alignment horizontal="center" vertical="center" justifyLastLine="1"/>
    </xf>
    <xf numFmtId="0" fontId="0" fillId="0" borderId="0" xfId="0" applyAlignment="1">
      <alignment horizontal="center" vertical="center" wrapText="1"/>
    </xf>
    <xf numFmtId="0" fontId="0" fillId="0" borderId="0" xfId="0" applyAlignment="1">
      <alignment horizontal="center" vertical="center"/>
    </xf>
    <xf numFmtId="0" fontId="79" fillId="0" borderId="45" xfId="0" applyFont="1" applyBorder="1" applyAlignment="1">
      <alignment horizontal="distributed" vertical="center" indent="2"/>
    </xf>
    <xf numFmtId="0" fontId="0" fillId="0" borderId="25" xfId="0" applyBorder="1" applyAlignment="1">
      <alignment horizontal="center" vertical="center" wrapText="1"/>
    </xf>
    <xf numFmtId="0" fontId="0" fillId="0" borderId="25" xfId="0" applyBorder="1" applyAlignment="1">
      <alignment horizontal="center" vertical="center"/>
    </xf>
    <xf numFmtId="0" fontId="79" fillId="0" borderId="45" xfId="0" applyFont="1" applyBorder="1" applyAlignment="1">
      <alignment horizontal="center" vertical="center"/>
    </xf>
    <xf numFmtId="0" fontId="74" fillId="31" borderId="0" xfId="0" applyFont="1" applyFill="1" applyAlignment="1" applyProtection="1">
      <alignment vertical="top" wrapText="1"/>
    </xf>
    <xf numFmtId="0" fontId="47" fillId="26" borderId="157" xfId="0" applyFont="1" applyFill="1" applyBorder="1" applyAlignment="1" applyProtection="1">
      <alignment horizontal="center" vertical="center"/>
      <protection locked="0"/>
    </xf>
    <xf numFmtId="0" fontId="47" fillId="26" borderId="211" xfId="0" applyFont="1" applyFill="1" applyBorder="1" applyAlignment="1" applyProtection="1">
      <alignment horizontal="center" vertical="center"/>
      <protection locked="0"/>
    </xf>
    <xf numFmtId="0" fontId="47" fillId="26" borderId="212" xfId="0" applyFont="1" applyFill="1" applyBorder="1" applyAlignment="1" applyProtection="1">
      <alignment horizontal="center" vertical="center"/>
      <protection locked="0"/>
    </xf>
    <xf numFmtId="49" fontId="85" fillId="0" borderId="0" xfId="0" applyNumberFormat="1" applyFont="1" applyBorder="1" applyAlignment="1">
      <alignment horizontal="left" vertical="center" wrapText="1"/>
    </xf>
    <xf numFmtId="0" fontId="85" fillId="0" borderId="0" xfId="0" applyFont="1" applyBorder="1" applyAlignment="1">
      <alignment vertical="top" wrapText="1"/>
    </xf>
    <xf numFmtId="0" fontId="85" fillId="0" borderId="0" xfId="0" applyFont="1" applyBorder="1" applyAlignment="1">
      <alignment horizontal="left" vertical="top" wrapText="1"/>
    </xf>
    <xf numFmtId="0" fontId="85" fillId="0" borderId="0" xfId="0" applyFont="1" applyAlignment="1">
      <alignment vertical="center"/>
    </xf>
    <xf numFmtId="49" fontId="85" fillId="0" borderId="0" xfId="0" applyNumberFormat="1" applyFont="1" applyBorder="1" applyAlignment="1">
      <alignment vertical="center" wrapText="1"/>
    </xf>
    <xf numFmtId="0" fontId="85" fillId="0" borderId="0" xfId="0" applyFont="1" applyBorder="1" applyAlignment="1">
      <alignment vertical="center" wrapText="1"/>
    </xf>
    <xf numFmtId="0" fontId="85" fillId="0" borderId="0" xfId="0" applyFont="1" applyBorder="1" applyAlignment="1">
      <alignment vertical="center"/>
    </xf>
    <xf numFmtId="0" fontId="85" fillId="0" borderId="0" xfId="0" applyFont="1" applyBorder="1" applyAlignment="1">
      <alignment horizontal="left" vertical="center" wrapText="1"/>
    </xf>
    <xf numFmtId="0" fontId="89" fillId="0" borderId="0" xfId="0" applyFont="1" applyBorder="1" applyAlignment="1">
      <alignment vertical="center" wrapText="1"/>
    </xf>
    <xf numFmtId="0" fontId="89" fillId="0" borderId="0" xfId="0" applyFont="1" applyBorder="1" applyAlignment="1">
      <alignment vertical="center"/>
    </xf>
    <xf numFmtId="0" fontId="83" fillId="0" borderId="145" xfId="0" applyFont="1" applyBorder="1" applyAlignment="1">
      <alignment horizontal="center" vertical="center" wrapText="1"/>
    </xf>
    <xf numFmtId="0" fontId="83" fillId="0" borderId="142" xfId="0" applyFont="1" applyBorder="1" applyAlignment="1">
      <alignment horizontal="center" vertical="center"/>
    </xf>
    <xf numFmtId="0" fontId="83" fillId="0" borderId="143" xfId="0" applyFont="1" applyBorder="1" applyAlignment="1">
      <alignment horizontal="center" vertical="center"/>
    </xf>
    <xf numFmtId="0" fontId="83" fillId="0" borderId="146" xfId="0" applyFont="1" applyBorder="1" applyAlignment="1">
      <alignment horizontal="center" vertical="center"/>
    </xf>
    <xf numFmtId="0" fontId="83" fillId="0" borderId="0" xfId="0" applyFont="1" applyBorder="1" applyAlignment="1">
      <alignment horizontal="center" vertical="center"/>
    </xf>
    <xf numFmtId="0" fontId="83" fillId="0" borderId="144" xfId="0" applyFont="1" applyBorder="1" applyAlignment="1">
      <alignment horizontal="center" vertical="center"/>
    </xf>
    <xf numFmtId="0" fontId="83" fillId="0" borderId="213" xfId="0" applyFont="1" applyBorder="1" applyAlignment="1">
      <alignment horizontal="center" vertical="center"/>
    </xf>
    <xf numFmtId="0" fontId="83" fillId="0" borderId="214" xfId="0" applyFont="1" applyBorder="1" applyAlignment="1">
      <alignment horizontal="center" vertical="center"/>
    </xf>
    <xf numFmtId="0" fontId="83" fillId="0" borderId="215" xfId="0" applyFont="1" applyBorder="1" applyAlignment="1">
      <alignment horizontal="center" vertical="center"/>
    </xf>
    <xf numFmtId="0" fontId="88" fillId="0" borderId="0" xfId="0" applyFont="1" applyBorder="1" applyAlignment="1">
      <alignment horizontal="center" vertical="center"/>
    </xf>
    <xf numFmtId="0" fontId="83" fillId="0" borderId="0" xfId="0" applyFont="1" applyBorder="1" applyAlignment="1">
      <alignment horizontal="distributed" vertical="center"/>
    </xf>
    <xf numFmtId="0" fontId="89" fillId="0" borderId="0" xfId="0" applyFont="1" applyBorder="1" applyAlignment="1">
      <alignment horizontal="left" vertical="center"/>
    </xf>
    <xf numFmtId="0" fontId="83" fillId="25" borderId="0" xfId="0" applyFont="1" applyFill="1" applyBorder="1" applyAlignment="1">
      <alignment horizontal="center" vertical="center"/>
    </xf>
    <xf numFmtId="0" fontId="83" fillId="0" borderId="0" xfId="0" applyFont="1" applyBorder="1" applyAlignment="1">
      <alignment horizontal="center" vertical="center" shrinkToFit="1"/>
    </xf>
    <xf numFmtId="0" fontId="83" fillId="0" borderId="0" xfId="0" applyFont="1" applyBorder="1" applyAlignment="1">
      <alignment vertical="center"/>
    </xf>
    <xf numFmtId="0" fontId="83" fillId="0" borderId="142" xfId="0" applyFont="1" applyBorder="1" applyAlignment="1">
      <alignment horizontal="center" vertical="center" wrapText="1"/>
    </xf>
    <xf numFmtId="0" fontId="83" fillId="0" borderId="143" xfId="0" applyFont="1" applyBorder="1" applyAlignment="1">
      <alignment horizontal="center" vertical="center" wrapText="1"/>
    </xf>
    <xf numFmtId="0" fontId="83" fillId="0" borderId="146" xfId="0" applyFont="1" applyBorder="1" applyAlignment="1">
      <alignment horizontal="center" vertical="center" wrapText="1"/>
    </xf>
    <xf numFmtId="0" fontId="83" fillId="0" borderId="0" xfId="0" applyFont="1" applyBorder="1" applyAlignment="1">
      <alignment horizontal="center" vertical="center" wrapText="1"/>
    </xf>
    <xf numFmtId="0" fontId="83" fillId="0" borderId="144" xfId="0" applyFont="1" applyBorder="1" applyAlignment="1">
      <alignment horizontal="center" vertical="center" wrapText="1"/>
    </xf>
    <xf numFmtId="0" fontId="83" fillId="0" borderId="213" xfId="0" applyFont="1" applyBorder="1" applyAlignment="1">
      <alignment horizontal="center" vertical="center" wrapText="1"/>
    </xf>
    <xf numFmtId="0" fontId="83" fillId="0" borderId="214" xfId="0" applyFont="1" applyBorder="1" applyAlignment="1">
      <alignment horizontal="center" vertical="center" wrapText="1"/>
    </xf>
    <xf numFmtId="0" fontId="83" fillId="0" borderId="215" xfId="0" applyFont="1" applyBorder="1" applyAlignment="1">
      <alignment horizontal="center" vertical="center" wrapText="1"/>
    </xf>
    <xf numFmtId="0" fontId="86" fillId="0" borderId="146" xfId="0" applyFont="1" applyBorder="1" applyAlignment="1">
      <alignment horizontal="center" vertical="center"/>
    </xf>
    <xf numFmtId="0" fontId="86" fillId="0" borderId="0" xfId="0" applyFont="1" applyBorder="1" applyAlignment="1">
      <alignment horizontal="center" vertical="center"/>
    </xf>
    <xf numFmtId="0" fontId="87" fillId="0" borderId="0" xfId="0" applyFont="1" applyBorder="1" applyAlignment="1">
      <alignment horizontal="center" vertical="center" wrapText="1"/>
    </xf>
    <xf numFmtId="0" fontId="87" fillId="0" borderId="144" xfId="0" applyFont="1" applyBorder="1" applyAlignment="1">
      <alignment horizontal="center" vertical="center" wrapText="1"/>
    </xf>
    <xf numFmtId="0" fontId="83" fillId="0" borderId="13" xfId="0" applyFont="1" applyBorder="1" applyAlignment="1">
      <alignment horizontal="center" vertical="center" wrapText="1"/>
    </xf>
    <xf numFmtId="0" fontId="83" fillId="0" borderId="25" xfId="0" applyFont="1" applyBorder="1" applyAlignment="1">
      <alignment horizontal="center" vertical="center"/>
    </xf>
    <xf numFmtId="0" fontId="83" fillId="0" borderId="92" xfId="0" applyFont="1" applyBorder="1" applyAlignment="1">
      <alignment horizontal="center" vertical="center"/>
    </xf>
    <xf numFmtId="0" fontId="83" fillId="0" borderId="16" xfId="0" applyFont="1" applyBorder="1" applyAlignment="1">
      <alignment horizontal="center" vertical="center"/>
    </xf>
    <xf numFmtId="0" fontId="83" fillId="0" borderId="80" xfId="0" applyFont="1" applyBorder="1" applyAlignment="1">
      <alignment horizontal="center" vertical="center"/>
    </xf>
    <xf numFmtId="0" fontId="83" fillId="0" borderId="17" xfId="0" applyFont="1" applyBorder="1" applyAlignment="1">
      <alignment horizontal="center" vertical="center"/>
    </xf>
    <xf numFmtId="0" fontId="83" fillId="0" borderId="35" xfId="0" applyFont="1" applyBorder="1" applyAlignment="1">
      <alignment horizontal="center" vertical="center"/>
    </xf>
    <xf numFmtId="0" fontId="83" fillId="0" borderId="83" xfId="0" applyFont="1" applyBorder="1" applyAlignment="1">
      <alignment horizontal="center" vertical="center"/>
    </xf>
    <xf numFmtId="0" fontId="83" fillId="25" borderId="13" xfId="0" applyFont="1" applyFill="1" applyBorder="1" applyAlignment="1">
      <alignment horizontal="center" vertical="center" wrapText="1"/>
    </xf>
    <xf numFmtId="0" fontId="0" fillId="25" borderId="25" xfId="0" applyFill="1" applyBorder="1" applyAlignment="1">
      <alignment horizontal="center" vertical="center" wrapText="1"/>
    </xf>
    <xf numFmtId="0" fontId="0" fillId="25" borderId="92" xfId="0" applyFill="1" applyBorder="1" applyAlignment="1">
      <alignment horizontal="center" vertical="center" wrapText="1"/>
    </xf>
    <xf numFmtId="0" fontId="0" fillId="25" borderId="16" xfId="0" applyFill="1" applyBorder="1" applyAlignment="1">
      <alignment horizontal="center" vertical="center" wrapText="1"/>
    </xf>
    <xf numFmtId="0" fontId="0" fillId="25" borderId="0" xfId="0" applyFill="1" applyAlignment="1">
      <alignment horizontal="center" vertical="center" wrapText="1"/>
    </xf>
    <xf numFmtId="0" fontId="0" fillId="25" borderId="80" xfId="0" applyFill="1" applyBorder="1" applyAlignment="1">
      <alignment horizontal="center" vertical="center" wrapText="1"/>
    </xf>
    <xf numFmtId="0" fontId="0" fillId="25" borderId="17" xfId="0" applyFill="1" applyBorder="1" applyAlignment="1">
      <alignment horizontal="center" vertical="center" wrapText="1"/>
    </xf>
    <xf numFmtId="0" fontId="0" fillId="25" borderId="35" xfId="0" applyFill="1" applyBorder="1" applyAlignment="1">
      <alignment horizontal="center" vertical="center" wrapText="1"/>
    </xf>
    <xf numFmtId="0" fontId="0" fillId="25" borderId="83" xfId="0" applyFill="1" applyBorder="1" applyAlignment="1">
      <alignment horizontal="center" vertical="center" wrapText="1"/>
    </xf>
    <xf numFmtId="0" fontId="83" fillId="25" borderId="16" xfId="0" applyFont="1" applyFill="1" applyBorder="1" applyAlignment="1">
      <alignment horizontal="center" vertical="center"/>
    </xf>
    <xf numFmtId="0" fontId="84" fillId="0" borderId="0" xfId="0" applyFont="1" applyBorder="1" applyAlignment="1">
      <alignment horizontal="right" vertical="center"/>
    </xf>
    <xf numFmtId="0" fontId="84" fillId="0" borderId="0" xfId="0" applyFont="1" applyBorder="1" applyAlignment="1">
      <alignment vertical="center"/>
    </xf>
    <xf numFmtId="0" fontId="83" fillId="0" borderId="13" xfId="0" applyFont="1" applyBorder="1" applyAlignment="1">
      <alignment horizontal="center" vertical="center"/>
    </xf>
    <xf numFmtId="0" fontId="83" fillId="25" borderId="13" xfId="0" applyFont="1" applyFill="1" applyBorder="1" applyAlignment="1">
      <alignment vertical="center" wrapText="1"/>
    </xf>
    <xf numFmtId="0" fontId="0" fillId="25" borderId="25" xfId="0" applyFill="1" applyBorder="1" applyAlignment="1">
      <alignment vertical="center" wrapText="1"/>
    </xf>
    <xf numFmtId="0" fontId="0" fillId="25" borderId="92" xfId="0" applyFill="1" applyBorder="1" applyAlignment="1">
      <alignment vertical="center" wrapText="1"/>
    </xf>
    <xf numFmtId="0" fontId="0" fillId="25" borderId="16" xfId="0" applyFill="1" applyBorder="1" applyAlignment="1">
      <alignment vertical="center" wrapText="1"/>
    </xf>
    <xf numFmtId="0" fontId="0" fillId="25" borderId="0" xfId="0" applyFill="1" applyAlignment="1">
      <alignment vertical="center" wrapText="1"/>
    </xf>
    <xf numFmtId="0" fontId="0" fillId="25" borderId="80" xfId="0" applyFill="1" applyBorder="1" applyAlignment="1">
      <alignment vertical="center" wrapText="1"/>
    </xf>
    <xf numFmtId="0" fontId="0" fillId="25" borderId="17" xfId="0" applyFill="1" applyBorder="1" applyAlignment="1">
      <alignment vertical="center" wrapText="1"/>
    </xf>
    <xf numFmtId="0" fontId="0" fillId="25" borderId="35" xfId="0" applyFill="1" applyBorder="1" applyAlignment="1">
      <alignment vertical="center" wrapText="1"/>
    </xf>
    <xf numFmtId="0" fontId="0" fillId="25" borderId="83" xfId="0" applyFill="1" applyBorder="1" applyAlignment="1">
      <alignment vertical="center" wrapText="1"/>
    </xf>
    <xf numFmtId="0" fontId="85" fillId="0" borderId="69" xfId="0" applyFont="1" applyBorder="1" applyAlignment="1">
      <alignment horizontal="center" vertical="center" wrapText="1"/>
    </xf>
    <xf numFmtId="0" fontId="85" fillId="0" borderId="70" xfId="0" applyFont="1" applyBorder="1" applyAlignment="1">
      <alignment horizontal="center" vertical="center" wrapText="1"/>
    </xf>
    <xf numFmtId="0" fontId="83" fillId="25" borderId="70" xfId="0" applyFont="1" applyFill="1" applyBorder="1" applyAlignment="1">
      <alignment vertical="center" shrinkToFit="1"/>
    </xf>
    <xf numFmtId="0" fontId="83" fillId="25" borderId="216" xfId="0" applyFont="1" applyFill="1" applyBorder="1" applyAlignment="1">
      <alignment vertical="center" shrinkToFit="1"/>
    </xf>
    <xf numFmtId="0" fontId="0" fillId="25" borderId="70" xfId="0" applyFill="1" applyBorder="1" applyAlignment="1">
      <alignment vertical="center" shrinkToFit="1"/>
    </xf>
    <xf numFmtId="0" fontId="0" fillId="25" borderId="216" xfId="0" applyFill="1" applyBorder="1" applyAlignment="1">
      <alignment vertical="center" shrinkToFit="1"/>
    </xf>
    <xf numFmtId="0" fontId="0" fillId="25" borderId="71" xfId="0" applyFill="1" applyBorder="1" applyAlignment="1">
      <alignment vertical="center" shrinkToFit="1"/>
    </xf>
    <xf numFmtId="0" fontId="83" fillId="0" borderId="137" xfId="0" applyFont="1" applyBorder="1" applyAlignment="1">
      <alignment horizontal="center" vertical="center" wrapText="1"/>
    </xf>
    <xf numFmtId="0" fontId="83" fillId="0" borderId="138" xfId="0" applyFont="1" applyBorder="1" applyAlignment="1">
      <alignment horizontal="center" vertical="center" wrapText="1"/>
    </xf>
    <xf numFmtId="0" fontId="83" fillId="0" borderId="16" xfId="0" applyFont="1" applyBorder="1" applyAlignment="1">
      <alignment horizontal="center" vertical="center" wrapText="1"/>
    </xf>
    <xf numFmtId="0" fontId="83" fillId="0" borderId="17" xfId="0" applyFont="1" applyBorder="1" applyAlignment="1">
      <alignment horizontal="center" vertical="center" wrapText="1"/>
    </xf>
    <xf numFmtId="0" fontId="83" fillId="0" borderId="35" xfId="0" applyFont="1" applyBorder="1" applyAlignment="1">
      <alignment horizontal="center" vertical="center" wrapText="1"/>
    </xf>
    <xf numFmtId="0" fontId="83" fillId="25" borderId="16" xfId="0" applyFont="1" applyFill="1" applyBorder="1" applyAlignment="1">
      <alignment vertical="center" wrapText="1"/>
    </xf>
    <xf numFmtId="0" fontId="0" fillId="25" borderId="144" xfId="0" applyFill="1" applyBorder="1" applyAlignment="1">
      <alignment vertical="center" wrapText="1"/>
    </xf>
    <xf numFmtId="0" fontId="0" fillId="25" borderId="217" xfId="0" applyFill="1" applyBorder="1" applyAlignment="1">
      <alignment vertical="center" wrapText="1"/>
    </xf>
    <xf numFmtId="0" fontId="83" fillId="25" borderId="146" xfId="0" applyFont="1" applyFill="1" applyBorder="1" applyAlignment="1">
      <alignment vertical="center" wrapText="1"/>
    </xf>
    <xf numFmtId="0" fontId="0" fillId="25" borderId="146" xfId="0" applyFill="1" applyBorder="1" applyAlignment="1">
      <alignment vertical="center" wrapText="1"/>
    </xf>
    <xf numFmtId="0" fontId="0" fillId="25" borderId="218" xfId="0" applyFill="1" applyBorder="1" applyAlignment="1">
      <alignment vertical="center" wrapText="1"/>
    </xf>
  </cellXfs>
  <cellStyles count="97">
    <cellStyle name="20% - アクセント 1" xfId="1" builtinId="30" customBuiltin="1"/>
    <cellStyle name="20% - アクセント 1 2" xfId="2"/>
    <cellStyle name="20% - アクセント 2" xfId="3" builtinId="34" customBuiltin="1"/>
    <cellStyle name="20% - アクセント 2 2" xfId="4"/>
    <cellStyle name="20% - アクセント 3" xfId="5" builtinId="38" customBuiltin="1"/>
    <cellStyle name="20% - アクセント 3 2" xfId="6"/>
    <cellStyle name="20% - アクセント 4" xfId="7" builtinId="42" customBuiltin="1"/>
    <cellStyle name="20% - アクセント 4 2" xfId="8"/>
    <cellStyle name="20% - アクセント 5" xfId="9" builtinId="46" customBuiltin="1"/>
    <cellStyle name="20% - アクセント 5 2" xfId="10"/>
    <cellStyle name="20% - アクセント 6" xfId="11" builtinId="50" customBuiltin="1"/>
    <cellStyle name="20% - アクセント 6 2" xfId="12"/>
    <cellStyle name="40% - アクセント 1" xfId="13" builtinId="31" customBuiltin="1"/>
    <cellStyle name="40% - アクセント 1 2" xfId="14"/>
    <cellStyle name="40% - アクセント 2" xfId="15" builtinId="35" customBuiltin="1"/>
    <cellStyle name="40% - アクセント 2 2" xfId="16"/>
    <cellStyle name="40% - アクセント 3" xfId="17" builtinId="39" customBuiltin="1"/>
    <cellStyle name="40% - アクセント 3 2" xfId="18"/>
    <cellStyle name="40% - アクセント 4" xfId="19" builtinId="43" customBuiltin="1"/>
    <cellStyle name="40% - アクセント 4 2" xfId="20"/>
    <cellStyle name="40% - アクセント 5" xfId="21" builtinId="47" customBuiltin="1"/>
    <cellStyle name="40% - アクセント 5 2" xfId="22"/>
    <cellStyle name="40% - アクセント 6" xfId="23" builtinId="51" customBuiltin="1"/>
    <cellStyle name="40% - アクセント 6 2" xfId="24"/>
    <cellStyle name="60% - アクセント 1" xfId="25" builtinId="32" customBuiltin="1"/>
    <cellStyle name="60% - アクセント 1 2" xfId="26"/>
    <cellStyle name="60% - アクセント 2" xfId="27" builtinId="36" customBuiltin="1"/>
    <cellStyle name="60% - アクセント 2 2" xfId="28"/>
    <cellStyle name="60% - アクセント 3" xfId="29" builtinId="40" customBuiltin="1"/>
    <cellStyle name="60% - アクセント 3 2" xfId="30"/>
    <cellStyle name="60% - アクセント 4" xfId="31" builtinId="44" customBuiltin="1"/>
    <cellStyle name="60% - アクセント 4 2" xfId="32"/>
    <cellStyle name="60% - アクセント 5" xfId="33" builtinId="48" customBuiltin="1"/>
    <cellStyle name="60% - アクセント 5 2" xfId="34"/>
    <cellStyle name="60% - アクセント 6" xfId="35" builtinId="52" customBuiltin="1"/>
    <cellStyle name="60% - アクセント 6 2" xfId="36"/>
    <cellStyle name="Background" xfId="37"/>
    <cellStyle name="アクセント 1" xfId="38" builtinId="29" customBuiltin="1"/>
    <cellStyle name="アクセント 1 2" xfId="39"/>
    <cellStyle name="アクセント 2" xfId="40" builtinId="33" customBuiltin="1"/>
    <cellStyle name="アクセント 2 2" xfId="41"/>
    <cellStyle name="アクセント 3" xfId="42" builtinId="37" customBuiltin="1"/>
    <cellStyle name="アクセント 3 2" xfId="43"/>
    <cellStyle name="アクセント 4" xfId="44" builtinId="41" customBuiltin="1"/>
    <cellStyle name="アクセント 4 2" xfId="45"/>
    <cellStyle name="アクセント 5" xfId="46" builtinId="45" customBuiltin="1"/>
    <cellStyle name="アクセント 5 2" xfId="47"/>
    <cellStyle name="アクセント 6" xfId="48" builtinId="49" customBuiltin="1"/>
    <cellStyle name="アクセント 6 2" xfId="49"/>
    <cellStyle name="タイトル" xfId="50" builtinId="15" customBuiltin="1"/>
    <cellStyle name="タイトル 2" xfId="51"/>
    <cellStyle name="チェック セル" xfId="52" builtinId="23" customBuiltin="1"/>
    <cellStyle name="チェック セル 2" xfId="53"/>
    <cellStyle name="どちらでもない" xfId="54" builtinId="28" customBuiltin="1"/>
    <cellStyle name="どちらでもない 2" xfId="55"/>
    <cellStyle name="メモ" xfId="56" builtinId="10" customBuiltin="1"/>
    <cellStyle name="メモ 2" xfId="57"/>
    <cellStyle name="リンク セル" xfId="58" builtinId="24" customBuiltin="1"/>
    <cellStyle name="リンク セル 2" xfId="59"/>
    <cellStyle name="悪い" xfId="60" builtinId="27" customBuiltin="1"/>
    <cellStyle name="悪い 2" xfId="61"/>
    <cellStyle name="計算" xfId="62" builtinId="22" customBuiltin="1"/>
    <cellStyle name="計算 2" xfId="63"/>
    <cellStyle name="警告文" xfId="64" builtinId="11" customBuiltin="1"/>
    <cellStyle name="警告文 2" xfId="65"/>
    <cellStyle name="桁区切り" xfId="66" builtinId="6"/>
    <cellStyle name="桁区切り 2" xfId="67"/>
    <cellStyle name="桁区切り 2 2" xfId="68"/>
    <cellStyle name="桁区切り 2 3" xfId="69"/>
    <cellStyle name="見出し 1" xfId="70" builtinId="16" customBuiltin="1"/>
    <cellStyle name="見出し 1 2" xfId="71"/>
    <cellStyle name="見出し 2" xfId="72" builtinId="17" customBuiltin="1"/>
    <cellStyle name="見出し 2 2" xfId="73"/>
    <cellStyle name="見出し 3" xfId="74" builtinId="18" customBuiltin="1"/>
    <cellStyle name="見出し 3 2" xfId="75"/>
    <cellStyle name="見出し 4" xfId="76" builtinId="19" customBuiltin="1"/>
    <cellStyle name="見出し 4 2" xfId="77"/>
    <cellStyle name="集計" xfId="78" builtinId="25" customBuiltin="1"/>
    <cellStyle name="集計 2" xfId="79"/>
    <cellStyle name="出力" xfId="80" builtinId="21" customBuiltin="1"/>
    <cellStyle name="出力 2" xfId="81"/>
    <cellStyle name="説明文" xfId="82" builtinId="53" customBuiltin="1"/>
    <cellStyle name="説明文 2" xfId="83"/>
    <cellStyle name="通貨 2" xfId="84"/>
    <cellStyle name="入力" xfId="85" builtinId="20" customBuiltin="1"/>
    <cellStyle name="入力 2" xfId="86"/>
    <cellStyle name="標準" xfId="0" builtinId="0"/>
    <cellStyle name="標準 2" xfId="87"/>
    <cellStyle name="標準 3" xfId="88"/>
    <cellStyle name="標準 4" xfId="89"/>
    <cellStyle name="標準 4 2" xfId="90"/>
    <cellStyle name="標準 5" xfId="91"/>
    <cellStyle name="標準_01_21" xfId="92"/>
    <cellStyle name="標準_一括支払用特例起案帳票" xfId="93"/>
    <cellStyle name="標準_購入依頼書(研究費編）" xfId="94"/>
    <cellStyle name="良い" xfId="95" builtinId="26" customBuiltin="1"/>
    <cellStyle name="良い 2" xfId="96"/>
  </cellStyles>
  <dxfs count="0"/>
  <tableStyles count="0" defaultTableStyle="TableStyleMedium9" defaultPivotStyle="PivotStyleLight16"/>
  <colors>
    <mruColors>
      <color rgb="FF00FF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31</xdr:col>
      <xdr:colOff>0</xdr:colOff>
      <xdr:row>1</xdr:row>
      <xdr:rowOff>0</xdr:rowOff>
    </xdr:from>
    <xdr:to>
      <xdr:col>37</xdr:col>
      <xdr:colOff>161925</xdr:colOff>
      <xdr:row>6</xdr:row>
      <xdr:rowOff>247650</xdr:rowOff>
    </xdr:to>
    <xdr:sp macro="" textlink="">
      <xdr:nvSpPr>
        <xdr:cNvPr id="2" name="Rectangle 19"/>
        <xdr:cNvSpPr>
          <a:spLocks noChangeArrowheads="1"/>
        </xdr:cNvSpPr>
      </xdr:nvSpPr>
      <xdr:spPr bwMode="auto">
        <a:xfrm>
          <a:off x="6200775" y="276225"/>
          <a:ext cx="1362075" cy="1762125"/>
        </a:xfrm>
        <a:prstGeom prst="rect">
          <a:avLst/>
        </a:prstGeom>
        <a:noFill/>
        <a:ln w="3175" cap="rnd">
          <a:solidFill>
            <a:srgbClr val="000000"/>
          </a:solidFill>
          <a:prstDash val="sysDot"/>
          <a:miter lim="800000"/>
          <a:headEnd/>
          <a:tailEnd/>
        </a:ln>
        <a:extLst>
          <a:ext uri="{909E8E84-426E-40DD-AFC4-6F175D3DCCD1}">
            <a14:hiddenFill xmlns:a14="http://schemas.microsoft.com/office/drawing/2010/main">
              <a:solidFill>
                <a:srgbClr val="FFFFFF"/>
              </a:solidFill>
            </a14:hiddenFill>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Century"/>
            </a:rPr>
            <a:t> </a:t>
          </a:r>
          <a:endParaRPr lang="ja-JP" altLang="en-US" sz="1100" b="0" i="0" u="none" strike="noStrike" baseline="0">
            <a:solidFill>
              <a:srgbClr val="000000"/>
            </a:solidFill>
            <a:latin typeface="ＭＳ Ｐゴシック"/>
            <a:ea typeface="ＭＳ Ｐゴシック"/>
          </a:endParaRPr>
        </a:p>
        <a:p>
          <a:pPr algn="l" rtl="0">
            <a:defRPr sz="1000"/>
          </a:pPr>
          <a:r>
            <a:rPr lang="ja-JP" altLang="en-US" sz="900" b="0" i="0" u="none" strike="noStrike" baseline="0">
              <a:solidFill>
                <a:srgbClr val="000000"/>
              </a:solidFill>
              <a:latin typeface="ＭＳ 明朝"/>
              <a:ea typeface="ＭＳ 明朝"/>
            </a:rPr>
            <a:t>　 （写真貼付）</a:t>
          </a:r>
          <a:endParaRPr lang="ja-JP" altLang="en-US" sz="900" b="0" i="0" u="none" strike="noStrike" baseline="0">
            <a:solidFill>
              <a:srgbClr val="000000"/>
            </a:solidFill>
            <a:latin typeface="ＭＳ Ｐゴシック"/>
            <a:ea typeface="ＭＳ Ｐゴシック"/>
          </a:endParaRPr>
        </a:p>
        <a:p>
          <a:pPr algn="l" rtl="0">
            <a:defRPr sz="1000"/>
          </a:pPr>
          <a:r>
            <a:rPr lang="ja-JP" altLang="en-US" sz="900" b="0" i="0" u="none" strike="noStrike" baseline="0">
              <a:solidFill>
                <a:srgbClr val="000000"/>
              </a:solidFill>
              <a:latin typeface="Century"/>
            </a:rPr>
            <a:t> </a:t>
          </a:r>
          <a:endParaRPr lang="ja-JP" altLang="en-US" sz="900" b="0" i="0" u="none" strike="noStrike" baseline="0">
            <a:solidFill>
              <a:srgbClr val="000000"/>
            </a:solidFill>
            <a:latin typeface="ＭＳ Ｐゴシック"/>
            <a:ea typeface="ＭＳ Ｐゴシック"/>
          </a:endParaRPr>
        </a:p>
        <a:p>
          <a:pPr algn="l" rtl="0">
            <a:defRPr sz="1000"/>
          </a:pPr>
          <a:r>
            <a:rPr lang="ja-JP" altLang="en-US" sz="900" b="0" i="0" u="none" strike="noStrike" baseline="0">
              <a:solidFill>
                <a:srgbClr val="000000"/>
              </a:solidFill>
              <a:latin typeface="ＭＳ 明朝"/>
              <a:ea typeface="ＭＳ 明朝"/>
            </a:rPr>
            <a:t>上半身、脱帽及び　　　　   正面向きのもので最近</a:t>
          </a:r>
          <a:r>
            <a:rPr lang="ja-JP" altLang="en-US" sz="900" b="0" i="0" u="none" strike="noStrike" baseline="0">
              <a:solidFill>
                <a:srgbClr val="000000"/>
              </a:solidFill>
              <a:latin typeface="Century"/>
              <a:ea typeface="ＭＳ 明朝"/>
            </a:rPr>
            <a:t>3</a:t>
          </a:r>
          <a:r>
            <a:rPr lang="ja-JP" altLang="en-US" sz="900" b="0" i="0" u="none" strike="noStrike" baseline="0">
              <a:solidFill>
                <a:srgbClr val="000000"/>
              </a:solidFill>
              <a:latin typeface="ＭＳ 明朝"/>
              <a:ea typeface="ＭＳ 明朝"/>
            </a:rPr>
            <a:t>ヶ月以内に撮影したもの</a:t>
          </a:r>
          <a:endParaRPr lang="ja-JP" altLang="en-US" sz="900" b="0" i="0" u="none" strike="noStrike" baseline="0">
            <a:solidFill>
              <a:srgbClr val="000000"/>
            </a:solidFill>
            <a:latin typeface="ＭＳ Ｐゴシック"/>
            <a:ea typeface="ＭＳ Ｐゴシック"/>
          </a:endParaRPr>
        </a:p>
        <a:p>
          <a:pPr algn="l" rtl="0">
            <a:defRPr sz="1000"/>
          </a:pPr>
          <a:r>
            <a:rPr lang="ja-JP" altLang="en-US" sz="900" b="0" i="0" u="none" strike="noStrike" baseline="0">
              <a:solidFill>
                <a:srgbClr val="000000"/>
              </a:solidFill>
              <a:latin typeface="ＭＳ 明朝"/>
              <a:ea typeface="ＭＳ 明朝"/>
            </a:rPr>
            <a:t>（縦４㎝×横３</a:t>
          </a:r>
          <a:r>
            <a:rPr lang="ja-JP" altLang="en-US" sz="900" b="0" i="0" u="none" strike="noStrike" baseline="0">
              <a:solidFill>
                <a:srgbClr val="000000"/>
              </a:solidFill>
              <a:latin typeface="Century"/>
              <a:ea typeface="ＭＳ 明朝"/>
            </a:rPr>
            <a:t>m</a:t>
          </a:r>
          <a:r>
            <a:rPr lang="ja-JP" altLang="en-US" sz="900" b="0" i="0" u="none" strike="noStrike" baseline="0">
              <a:solidFill>
                <a:srgbClr val="000000"/>
              </a:solidFill>
              <a:latin typeface="ＭＳ 明朝"/>
              <a:ea typeface="ＭＳ 明朝"/>
            </a:rPr>
            <a:t>）</a:t>
          </a:r>
        </a:p>
      </xdr:txBody>
    </xdr:sp>
    <xdr:clientData/>
  </xdr:twoCellAnchor>
  <xdr:twoCellAnchor>
    <xdr:from>
      <xdr:col>5</xdr:col>
      <xdr:colOff>104774</xdr:colOff>
      <xdr:row>7</xdr:row>
      <xdr:rowOff>85725</xdr:rowOff>
    </xdr:from>
    <xdr:to>
      <xdr:col>28</xdr:col>
      <xdr:colOff>123825</xdr:colOff>
      <xdr:row>10</xdr:row>
      <xdr:rowOff>76199</xdr:rowOff>
    </xdr:to>
    <xdr:sp macro="" textlink="">
      <xdr:nvSpPr>
        <xdr:cNvPr id="3" name="角丸四角形 2"/>
        <xdr:cNvSpPr/>
      </xdr:nvSpPr>
      <xdr:spPr>
        <a:xfrm>
          <a:off x="1104899" y="2219325"/>
          <a:ext cx="4619626" cy="876299"/>
        </a:xfrm>
        <a:prstGeom prst="roundRect">
          <a:avLst>
            <a:gd name="adj" fmla="val 33334"/>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800" b="1">
              <a:solidFill>
                <a:sysClr val="windowText" lastClr="000000"/>
              </a:solidFill>
            </a:rPr>
            <a:t>　　     すべて「元号」で記入ください。</a:t>
          </a:r>
        </a:p>
      </xdr:txBody>
    </xdr:sp>
    <xdr:clientData/>
  </xdr:twoCellAnchor>
  <xdr:twoCellAnchor>
    <xdr:from>
      <xdr:col>18</xdr:col>
      <xdr:colOff>123825</xdr:colOff>
      <xdr:row>19</xdr:row>
      <xdr:rowOff>200024</xdr:rowOff>
    </xdr:from>
    <xdr:to>
      <xdr:col>33</xdr:col>
      <xdr:colOff>123825</xdr:colOff>
      <xdr:row>21</xdr:row>
      <xdr:rowOff>200025</xdr:rowOff>
    </xdr:to>
    <xdr:sp macro="" textlink="">
      <xdr:nvSpPr>
        <xdr:cNvPr id="4" name="角丸四角形吹き出し 3"/>
        <xdr:cNvSpPr/>
      </xdr:nvSpPr>
      <xdr:spPr>
        <a:xfrm>
          <a:off x="3724275" y="5972174"/>
          <a:ext cx="3000375" cy="685801"/>
        </a:xfrm>
        <a:prstGeom prst="wedgeRoundRectCallout">
          <a:avLst>
            <a:gd name="adj1" fmla="val -41452"/>
            <a:gd name="adj2" fmla="val 107706"/>
            <a:gd name="adj3" fmla="val 16667"/>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ysClr val="windowText" lastClr="000000"/>
              </a:solidFill>
            </a:rPr>
            <a:t>法人での雇用職歴を記入ください。　　　　　　　　　　　　　　（</a:t>
          </a:r>
          <a:r>
            <a:rPr kumimoji="1" lang="en-US" altLang="ja-JP" sz="1400" b="1">
              <a:solidFill>
                <a:sysClr val="windowText" lastClr="000000"/>
              </a:solidFill>
            </a:rPr>
            <a:t>TA</a:t>
          </a:r>
          <a:r>
            <a:rPr kumimoji="1" lang="ja-JP" altLang="en-US" sz="1400" b="1">
              <a:solidFill>
                <a:sysClr val="windowText" lastClr="000000"/>
              </a:solidFill>
            </a:rPr>
            <a:t>などは除く）</a:t>
          </a:r>
        </a:p>
      </xdr:txBody>
    </xdr:sp>
    <xdr:clientData/>
  </xdr:twoCellAnchor>
  <xdr:twoCellAnchor>
    <xdr:from>
      <xdr:col>10</xdr:col>
      <xdr:colOff>66674</xdr:colOff>
      <xdr:row>0</xdr:row>
      <xdr:rowOff>200025</xdr:rowOff>
    </xdr:from>
    <xdr:to>
      <xdr:col>25</xdr:col>
      <xdr:colOff>180974</xdr:colOff>
      <xdr:row>3</xdr:row>
      <xdr:rowOff>123825</xdr:rowOff>
    </xdr:to>
    <xdr:sp macro="" textlink="">
      <xdr:nvSpPr>
        <xdr:cNvPr id="5" name="円/楕円 4"/>
        <xdr:cNvSpPr/>
      </xdr:nvSpPr>
      <xdr:spPr>
        <a:xfrm>
          <a:off x="2066924" y="200025"/>
          <a:ext cx="3114675" cy="838200"/>
        </a:xfrm>
        <a:prstGeom prst="ellipse">
          <a:avLst/>
        </a:prstGeom>
        <a:solidFill>
          <a:srgbClr val="00FF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b="1">
              <a:solidFill>
                <a:srgbClr val="FF0000"/>
              </a:solidFill>
            </a:rPr>
            <a:t>　履歴書　記入例</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31</xdr:col>
      <xdr:colOff>0</xdr:colOff>
      <xdr:row>1</xdr:row>
      <xdr:rowOff>0</xdr:rowOff>
    </xdr:from>
    <xdr:to>
      <xdr:col>37</xdr:col>
      <xdr:colOff>161925</xdr:colOff>
      <xdr:row>6</xdr:row>
      <xdr:rowOff>247650</xdr:rowOff>
    </xdr:to>
    <xdr:sp macro="" textlink="">
      <xdr:nvSpPr>
        <xdr:cNvPr id="2" name="Rectangle 19"/>
        <xdr:cNvSpPr>
          <a:spLocks noChangeArrowheads="1"/>
        </xdr:cNvSpPr>
      </xdr:nvSpPr>
      <xdr:spPr bwMode="auto">
        <a:xfrm>
          <a:off x="6200775" y="276225"/>
          <a:ext cx="1362075" cy="1762125"/>
        </a:xfrm>
        <a:prstGeom prst="rect">
          <a:avLst/>
        </a:prstGeom>
        <a:noFill/>
        <a:ln w="3175" cap="rnd">
          <a:solidFill>
            <a:srgbClr val="000000"/>
          </a:solidFill>
          <a:prstDash val="sysDot"/>
          <a:miter lim="800000"/>
          <a:headEnd/>
          <a:tailEnd/>
        </a:ln>
        <a:extLst>
          <a:ext uri="{909E8E84-426E-40DD-AFC4-6F175D3DCCD1}">
            <a14:hiddenFill xmlns:a14="http://schemas.microsoft.com/office/drawing/2010/main">
              <a:solidFill>
                <a:srgbClr val="FFFFFF"/>
              </a:solidFill>
            </a14:hiddenFill>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Century"/>
            </a:rPr>
            <a:t> </a:t>
          </a:r>
          <a:endParaRPr lang="ja-JP" altLang="en-US" sz="1100" b="0" i="0" u="none" strike="noStrike" baseline="0">
            <a:solidFill>
              <a:srgbClr val="000000"/>
            </a:solidFill>
            <a:latin typeface="ＭＳ Ｐゴシック"/>
            <a:ea typeface="ＭＳ Ｐゴシック"/>
          </a:endParaRPr>
        </a:p>
        <a:p>
          <a:pPr algn="l" rtl="0">
            <a:defRPr sz="1000"/>
          </a:pPr>
          <a:r>
            <a:rPr lang="ja-JP" altLang="en-US" sz="900" b="0" i="0" u="none" strike="noStrike" baseline="0">
              <a:solidFill>
                <a:srgbClr val="000000"/>
              </a:solidFill>
              <a:latin typeface="ＭＳ 明朝"/>
              <a:ea typeface="ＭＳ 明朝"/>
            </a:rPr>
            <a:t>　 （写真貼付）</a:t>
          </a:r>
          <a:endParaRPr lang="ja-JP" altLang="en-US" sz="900" b="0" i="0" u="none" strike="noStrike" baseline="0">
            <a:solidFill>
              <a:srgbClr val="000000"/>
            </a:solidFill>
            <a:latin typeface="ＭＳ Ｐゴシック"/>
            <a:ea typeface="ＭＳ Ｐゴシック"/>
          </a:endParaRPr>
        </a:p>
        <a:p>
          <a:pPr algn="l" rtl="0">
            <a:defRPr sz="1000"/>
          </a:pPr>
          <a:r>
            <a:rPr lang="ja-JP" altLang="en-US" sz="900" b="0" i="0" u="none" strike="noStrike" baseline="0">
              <a:solidFill>
                <a:srgbClr val="000000"/>
              </a:solidFill>
              <a:latin typeface="Century"/>
            </a:rPr>
            <a:t> </a:t>
          </a:r>
          <a:endParaRPr lang="ja-JP" altLang="en-US" sz="900" b="0" i="0" u="none" strike="noStrike" baseline="0">
            <a:solidFill>
              <a:srgbClr val="000000"/>
            </a:solidFill>
            <a:latin typeface="ＭＳ Ｐゴシック"/>
            <a:ea typeface="ＭＳ Ｐゴシック"/>
          </a:endParaRPr>
        </a:p>
        <a:p>
          <a:pPr algn="l" rtl="0">
            <a:defRPr sz="1000"/>
          </a:pPr>
          <a:r>
            <a:rPr lang="ja-JP" altLang="en-US" sz="900" b="0" i="0" u="none" strike="noStrike" baseline="0">
              <a:solidFill>
                <a:srgbClr val="000000"/>
              </a:solidFill>
              <a:latin typeface="ＭＳ 明朝"/>
              <a:ea typeface="ＭＳ 明朝"/>
            </a:rPr>
            <a:t>上半身、脱帽及び　　　　   正面向きのもので最近</a:t>
          </a:r>
          <a:r>
            <a:rPr lang="ja-JP" altLang="en-US" sz="900" b="0" i="0" u="none" strike="noStrike" baseline="0">
              <a:solidFill>
                <a:srgbClr val="000000"/>
              </a:solidFill>
              <a:latin typeface="Century"/>
              <a:ea typeface="ＭＳ 明朝"/>
            </a:rPr>
            <a:t>3</a:t>
          </a:r>
          <a:r>
            <a:rPr lang="ja-JP" altLang="en-US" sz="900" b="0" i="0" u="none" strike="noStrike" baseline="0">
              <a:solidFill>
                <a:srgbClr val="000000"/>
              </a:solidFill>
              <a:latin typeface="ＭＳ 明朝"/>
              <a:ea typeface="ＭＳ 明朝"/>
            </a:rPr>
            <a:t>ヶ月以内に撮影したもの</a:t>
          </a:r>
          <a:endParaRPr lang="ja-JP" altLang="en-US" sz="900" b="0" i="0" u="none" strike="noStrike" baseline="0">
            <a:solidFill>
              <a:srgbClr val="000000"/>
            </a:solidFill>
            <a:latin typeface="ＭＳ Ｐゴシック"/>
            <a:ea typeface="ＭＳ Ｐゴシック"/>
          </a:endParaRPr>
        </a:p>
        <a:p>
          <a:pPr algn="l" rtl="0">
            <a:defRPr sz="1000"/>
          </a:pPr>
          <a:r>
            <a:rPr lang="ja-JP" altLang="en-US" sz="900" b="0" i="0" u="none" strike="noStrike" baseline="0">
              <a:solidFill>
                <a:srgbClr val="000000"/>
              </a:solidFill>
              <a:latin typeface="ＭＳ 明朝"/>
              <a:ea typeface="ＭＳ 明朝"/>
            </a:rPr>
            <a:t>（縦４㎝×横３</a:t>
          </a:r>
          <a:r>
            <a:rPr lang="ja-JP" altLang="en-US" sz="900" b="0" i="0" u="none" strike="noStrike" baseline="0">
              <a:solidFill>
                <a:srgbClr val="000000"/>
              </a:solidFill>
              <a:latin typeface="Century"/>
              <a:ea typeface="ＭＳ 明朝"/>
            </a:rPr>
            <a:t>m</a:t>
          </a:r>
          <a:r>
            <a:rPr lang="ja-JP" altLang="en-US" sz="900" b="0" i="0" u="none" strike="noStrike" baseline="0">
              <a:solidFill>
                <a:srgbClr val="000000"/>
              </a:solidFill>
              <a:latin typeface="ＭＳ 明朝"/>
              <a:ea typeface="ＭＳ 明朝"/>
            </a:rPr>
            <a: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38100</xdr:colOff>
      <xdr:row>12</xdr:row>
      <xdr:rowOff>133350</xdr:rowOff>
    </xdr:from>
    <xdr:to>
      <xdr:col>4</xdr:col>
      <xdr:colOff>238125</xdr:colOff>
      <xdr:row>12</xdr:row>
      <xdr:rowOff>133350</xdr:rowOff>
    </xdr:to>
    <xdr:sp macro="" textlink="">
      <xdr:nvSpPr>
        <xdr:cNvPr id="2" name="Line 6"/>
        <xdr:cNvSpPr>
          <a:spLocks noChangeShapeType="1"/>
        </xdr:cNvSpPr>
      </xdr:nvSpPr>
      <xdr:spPr bwMode="auto">
        <a:xfrm>
          <a:off x="1485900" y="2600325"/>
          <a:ext cx="200025" cy="0"/>
        </a:xfrm>
        <a:prstGeom prst="line">
          <a:avLst/>
        </a:prstGeom>
        <a:noFill/>
        <a:ln w="19050">
          <a:solidFill>
            <a:srgbClr val="808080"/>
          </a:solidFill>
          <a:prstDash val="sysDot"/>
          <a:round/>
          <a:headEnd type="oval" w="sm" len="sm"/>
          <a:tailEnd type="arrow" w="sm" len="med"/>
        </a:ln>
        <a:extLst>
          <a:ext uri="{909E8E84-426E-40DD-AFC4-6F175D3DCCD1}">
            <a14:hiddenFill xmlns:a14="http://schemas.microsoft.com/office/drawing/2010/main">
              <a:noFill/>
            </a14:hiddenFill>
          </a:ext>
        </a:extLst>
      </xdr:spPr>
    </xdr:sp>
    <xdr:clientData/>
  </xdr:twoCellAnchor>
  <xdr:twoCellAnchor>
    <xdr:from>
      <xdr:col>4</xdr:col>
      <xdr:colOff>28575</xdr:colOff>
      <xdr:row>16</xdr:row>
      <xdr:rowOff>38100</xdr:rowOff>
    </xdr:from>
    <xdr:to>
      <xdr:col>4</xdr:col>
      <xdr:colOff>219075</xdr:colOff>
      <xdr:row>16</xdr:row>
      <xdr:rowOff>38100</xdr:rowOff>
    </xdr:to>
    <xdr:sp macro="" textlink="">
      <xdr:nvSpPr>
        <xdr:cNvPr id="3" name="Line 2"/>
        <xdr:cNvSpPr>
          <a:spLocks noChangeShapeType="1"/>
        </xdr:cNvSpPr>
      </xdr:nvSpPr>
      <xdr:spPr bwMode="auto">
        <a:xfrm>
          <a:off x="1476375" y="3190875"/>
          <a:ext cx="190500" cy="0"/>
        </a:xfrm>
        <a:prstGeom prst="line">
          <a:avLst/>
        </a:prstGeom>
        <a:noFill/>
        <a:ln w="19050">
          <a:solidFill>
            <a:srgbClr val="808080"/>
          </a:solidFill>
          <a:prstDash val="sysDot"/>
          <a:round/>
          <a:headEnd type="oval" w="sm" len="sm"/>
          <a:tailEnd type="arrow" w="sm" len="med"/>
        </a:ln>
        <a:extLst>
          <a:ext uri="{909E8E84-426E-40DD-AFC4-6F175D3DCCD1}">
            <a14:hiddenFill xmlns:a14="http://schemas.microsoft.com/office/drawing/2010/main">
              <a:noFill/>
            </a14:hiddenFill>
          </a:ext>
        </a:extLst>
      </xdr:spPr>
    </xdr:sp>
    <xdr:clientData/>
  </xdr:twoCellAnchor>
  <xdr:twoCellAnchor>
    <xdr:from>
      <xdr:col>4</xdr:col>
      <xdr:colOff>38100</xdr:colOff>
      <xdr:row>20</xdr:row>
      <xdr:rowOff>38100</xdr:rowOff>
    </xdr:from>
    <xdr:to>
      <xdr:col>4</xdr:col>
      <xdr:colOff>228600</xdr:colOff>
      <xdr:row>20</xdr:row>
      <xdr:rowOff>38100</xdr:rowOff>
    </xdr:to>
    <xdr:sp macro="" textlink="">
      <xdr:nvSpPr>
        <xdr:cNvPr id="4" name="Line 3"/>
        <xdr:cNvSpPr>
          <a:spLocks noChangeShapeType="1"/>
        </xdr:cNvSpPr>
      </xdr:nvSpPr>
      <xdr:spPr bwMode="auto">
        <a:xfrm>
          <a:off x="1485900" y="3876675"/>
          <a:ext cx="190500" cy="0"/>
        </a:xfrm>
        <a:prstGeom prst="line">
          <a:avLst/>
        </a:prstGeom>
        <a:noFill/>
        <a:ln w="19050">
          <a:solidFill>
            <a:srgbClr val="808080"/>
          </a:solidFill>
          <a:prstDash val="sysDot"/>
          <a:round/>
          <a:headEnd type="oval" w="sm" len="sm"/>
          <a:tailEnd type="arrow" w="sm" len="med"/>
        </a:ln>
        <a:extLst>
          <a:ext uri="{909E8E84-426E-40DD-AFC4-6F175D3DCCD1}">
            <a14:hiddenFill xmlns:a14="http://schemas.microsoft.com/office/drawing/2010/main">
              <a:noFill/>
            </a14:hiddenFill>
          </a:ext>
        </a:extLst>
      </xdr:spPr>
    </xdr:sp>
    <xdr:clientData/>
  </xdr:twoCellAnchor>
  <xdr:twoCellAnchor>
    <xdr:from>
      <xdr:col>4</xdr:col>
      <xdr:colOff>38100</xdr:colOff>
      <xdr:row>24</xdr:row>
      <xdr:rowOff>57150</xdr:rowOff>
    </xdr:from>
    <xdr:to>
      <xdr:col>4</xdr:col>
      <xdr:colOff>228600</xdr:colOff>
      <xdr:row>24</xdr:row>
      <xdr:rowOff>57150</xdr:rowOff>
    </xdr:to>
    <xdr:sp macro="" textlink="">
      <xdr:nvSpPr>
        <xdr:cNvPr id="5" name="Line 4"/>
        <xdr:cNvSpPr>
          <a:spLocks noChangeShapeType="1"/>
        </xdr:cNvSpPr>
      </xdr:nvSpPr>
      <xdr:spPr bwMode="auto">
        <a:xfrm>
          <a:off x="1485900" y="4581525"/>
          <a:ext cx="190500" cy="0"/>
        </a:xfrm>
        <a:prstGeom prst="line">
          <a:avLst/>
        </a:prstGeom>
        <a:noFill/>
        <a:ln w="19050">
          <a:solidFill>
            <a:srgbClr val="808080"/>
          </a:solidFill>
          <a:prstDash val="sysDot"/>
          <a:round/>
          <a:headEnd type="oval" w="sm" len="sm"/>
          <a:tailEnd type="arrow" w="sm" len="med"/>
        </a:ln>
        <a:extLst>
          <a:ext uri="{909E8E84-426E-40DD-AFC4-6F175D3DCCD1}">
            <a14:hiddenFill xmlns:a14="http://schemas.microsoft.com/office/drawing/2010/main">
              <a:noFill/>
            </a14:hiddenFill>
          </a:ext>
        </a:extLst>
      </xdr:spPr>
    </xdr:sp>
    <xdr:clientData/>
  </xdr:twoCellAnchor>
  <xdr:twoCellAnchor>
    <xdr:from>
      <xdr:col>4</xdr:col>
      <xdr:colOff>57150</xdr:colOff>
      <xdr:row>28</xdr:row>
      <xdr:rowOff>66675</xdr:rowOff>
    </xdr:from>
    <xdr:to>
      <xdr:col>4</xdr:col>
      <xdr:colOff>247650</xdr:colOff>
      <xdr:row>28</xdr:row>
      <xdr:rowOff>66675</xdr:rowOff>
    </xdr:to>
    <xdr:sp macro="" textlink="">
      <xdr:nvSpPr>
        <xdr:cNvPr id="6" name="Line 5"/>
        <xdr:cNvSpPr>
          <a:spLocks noChangeShapeType="1"/>
        </xdr:cNvSpPr>
      </xdr:nvSpPr>
      <xdr:spPr bwMode="auto">
        <a:xfrm>
          <a:off x="1504950" y="5276850"/>
          <a:ext cx="190500" cy="0"/>
        </a:xfrm>
        <a:prstGeom prst="line">
          <a:avLst/>
        </a:prstGeom>
        <a:noFill/>
        <a:ln w="19050">
          <a:solidFill>
            <a:srgbClr val="808080"/>
          </a:solidFill>
          <a:prstDash val="sysDot"/>
          <a:round/>
          <a:headEnd type="oval" w="sm" len="sm"/>
          <a:tailEnd type="arrow" w="sm" len="med"/>
        </a:ln>
        <a:extLst>
          <a:ext uri="{909E8E84-426E-40DD-AFC4-6F175D3DCCD1}">
            <a14:hiddenFill xmlns:a14="http://schemas.microsoft.com/office/drawing/2010/main">
              <a:noFill/>
            </a14:hiddenFill>
          </a:ext>
        </a:extLst>
      </xdr:spPr>
    </xdr:sp>
    <xdr:clientData/>
  </xdr:twoCellAnchor>
  <xdr:twoCellAnchor>
    <xdr:from>
      <xdr:col>4</xdr:col>
      <xdr:colOff>9525</xdr:colOff>
      <xdr:row>14</xdr:row>
      <xdr:rowOff>76200</xdr:rowOff>
    </xdr:from>
    <xdr:to>
      <xdr:col>4</xdr:col>
      <xdr:colOff>200025</xdr:colOff>
      <xdr:row>14</xdr:row>
      <xdr:rowOff>76200</xdr:rowOff>
    </xdr:to>
    <xdr:sp macro="" textlink="">
      <xdr:nvSpPr>
        <xdr:cNvPr id="7" name="Line 7"/>
        <xdr:cNvSpPr>
          <a:spLocks noChangeShapeType="1"/>
        </xdr:cNvSpPr>
      </xdr:nvSpPr>
      <xdr:spPr bwMode="auto">
        <a:xfrm flipH="1">
          <a:off x="1457325" y="2886075"/>
          <a:ext cx="190500" cy="0"/>
        </a:xfrm>
        <a:prstGeom prst="line">
          <a:avLst/>
        </a:prstGeom>
        <a:noFill/>
        <a:ln w="19050">
          <a:solidFill>
            <a:srgbClr val="808080"/>
          </a:solidFill>
          <a:prstDash val="sysDot"/>
          <a:round/>
          <a:headEnd type="oval" w="sm" len="sm"/>
          <a:tailEnd type="arrow" w="sm" len="med"/>
        </a:ln>
        <a:extLst>
          <a:ext uri="{909E8E84-426E-40DD-AFC4-6F175D3DCCD1}">
            <a14:hiddenFill xmlns:a14="http://schemas.microsoft.com/office/drawing/2010/main">
              <a:noFill/>
            </a14:hiddenFill>
          </a:ext>
        </a:extLst>
      </xdr:spPr>
    </xdr:sp>
    <xdr:clientData/>
  </xdr:twoCellAnchor>
  <xdr:twoCellAnchor>
    <xdr:from>
      <xdr:col>3</xdr:col>
      <xdr:colOff>352425</xdr:colOff>
      <xdr:row>18</xdr:row>
      <xdr:rowOff>76200</xdr:rowOff>
    </xdr:from>
    <xdr:to>
      <xdr:col>4</xdr:col>
      <xdr:colOff>180975</xdr:colOff>
      <xdr:row>18</xdr:row>
      <xdr:rowOff>76200</xdr:rowOff>
    </xdr:to>
    <xdr:sp macro="" textlink="">
      <xdr:nvSpPr>
        <xdr:cNvPr id="8" name="Line 8"/>
        <xdr:cNvSpPr>
          <a:spLocks noChangeShapeType="1"/>
        </xdr:cNvSpPr>
      </xdr:nvSpPr>
      <xdr:spPr bwMode="auto">
        <a:xfrm flipH="1">
          <a:off x="1438275" y="3571875"/>
          <a:ext cx="190500" cy="0"/>
        </a:xfrm>
        <a:prstGeom prst="line">
          <a:avLst/>
        </a:prstGeom>
        <a:noFill/>
        <a:ln w="19050">
          <a:solidFill>
            <a:srgbClr val="808080"/>
          </a:solidFill>
          <a:prstDash val="sysDot"/>
          <a:round/>
          <a:headEnd type="oval" w="sm" len="sm"/>
          <a:tailEnd type="arrow" w="sm" len="med"/>
        </a:ln>
        <a:extLst>
          <a:ext uri="{909E8E84-426E-40DD-AFC4-6F175D3DCCD1}">
            <a14:hiddenFill xmlns:a14="http://schemas.microsoft.com/office/drawing/2010/main">
              <a:noFill/>
            </a14:hiddenFill>
          </a:ext>
        </a:extLst>
      </xdr:spPr>
    </xdr:sp>
    <xdr:clientData/>
  </xdr:twoCellAnchor>
  <xdr:twoCellAnchor>
    <xdr:from>
      <xdr:col>4</xdr:col>
      <xdr:colOff>9525</xdr:colOff>
      <xdr:row>22</xdr:row>
      <xdr:rowOff>28575</xdr:rowOff>
    </xdr:from>
    <xdr:to>
      <xdr:col>4</xdr:col>
      <xdr:colOff>200025</xdr:colOff>
      <xdr:row>22</xdr:row>
      <xdr:rowOff>28575</xdr:rowOff>
    </xdr:to>
    <xdr:sp macro="" textlink="">
      <xdr:nvSpPr>
        <xdr:cNvPr id="9" name="Line 9"/>
        <xdr:cNvSpPr>
          <a:spLocks noChangeShapeType="1"/>
        </xdr:cNvSpPr>
      </xdr:nvSpPr>
      <xdr:spPr bwMode="auto">
        <a:xfrm flipH="1">
          <a:off x="1457325" y="4210050"/>
          <a:ext cx="190500" cy="0"/>
        </a:xfrm>
        <a:prstGeom prst="line">
          <a:avLst/>
        </a:prstGeom>
        <a:noFill/>
        <a:ln w="19050">
          <a:solidFill>
            <a:srgbClr val="808080"/>
          </a:solidFill>
          <a:prstDash val="sysDot"/>
          <a:round/>
          <a:headEnd type="oval" w="sm" len="sm"/>
          <a:tailEnd type="arrow" w="sm" len="med"/>
        </a:ln>
        <a:extLst>
          <a:ext uri="{909E8E84-426E-40DD-AFC4-6F175D3DCCD1}">
            <a14:hiddenFill xmlns:a14="http://schemas.microsoft.com/office/drawing/2010/main">
              <a:noFill/>
            </a14:hiddenFill>
          </a:ext>
        </a:extLst>
      </xdr:spPr>
    </xdr:sp>
    <xdr:clientData/>
  </xdr:twoCellAnchor>
  <xdr:twoCellAnchor>
    <xdr:from>
      <xdr:col>4</xdr:col>
      <xdr:colOff>19050</xdr:colOff>
      <xdr:row>26</xdr:row>
      <xdr:rowOff>38100</xdr:rowOff>
    </xdr:from>
    <xdr:to>
      <xdr:col>4</xdr:col>
      <xdr:colOff>209550</xdr:colOff>
      <xdr:row>26</xdr:row>
      <xdr:rowOff>38100</xdr:rowOff>
    </xdr:to>
    <xdr:sp macro="" textlink="">
      <xdr:nvSpPr>
        <xdr:cNvPr id="10" name="Line 10"/>
        <xdr:cNvSpPr>
          <a:spLocks noChangeShapeType="1"/>
        </xdr:cNvSpPr>
      </xdr:nvSpPr>
      <xdr:spPr bwMode="auto">
        <a:xfrm flipH="1">
          <a:off x="1466850" y="4905375"/>
          <a:ext cx="190500" cy="0"/>
        </a:xfrm>
        <a:prstGeom prst="line">
          <a:avLst/>
        </a:prstGeom>
        <a:noFill/>
        <a:ln w="19050">
          <a:solidFill>
            <a:srgbClr val="808080"/>
          </a:solidFill>
          <a:prstDash val="sysDot"/>
          <a:round/>
          <a:headEnd type="oval" w="sm" len="sm"/>
          <a:tailEnd type="arrow" w="sm" len="med"/>
        </a:ln>
        <a:extLst>
          <a:ext uri="{909E8E84-426E-40DD-AFC4-6F175D3DCCD1}">
            <a14:hiddenFill xmlns:a14="http://schemas.microsoft.com/office/drawing/2010/main">
              <a:noFill/>
            </a14:hiddenFill>
          </a:ext>
        </a:extLst>
      </xdr:spPr>
    </xdr:sp>
    <xdr:clientData/>
  </xdr:twoCellAnchor>
  <xdr:twoCellAnchor>
    <xdr:from>
      <xdr:col>4</xdr:col>
      <xdr:colOff>19050</xdr:colOff>
      <xdr:row>30</xdr:row>
      <xdr:rowOff>57150</xdr:rowOff>
    </xdr:from>
    <xdr:to>
      <xdr:col>4</xdr:col>
      <xdr:colOff>209550</xdr:colOff>
      <xdr:row>30</xdr:row>
      <xdr:rowOff>57150</xdr:rowOff>
    </xdr:to>
    <xdr:sp macro="" textlink="">
      <xdr:nvSpPr>
        <xdr:cNvPr id="11" name="Line 11"/>
        <xdr:cNvSpPr>
          <a:spLocks noChangeShapeType="1"/>
        </xdr:cNvSpPr>
      </xdr:nvSpPr>
      <xdr:spPr bwMode="auto">
        <a:xfrm flipH="1">
          <a:off x="1466850" y="5610225"/>
          <a:ext cx="190500" cy="0"/>
        </a:xfrm>
        <a:prstGeom prst="line">
          <a:avLst/>
        </a:prstGeom>
        <a:noFill/>
        <a:ln w="19050">
          <a:solidFill>
            <a:srgbClr val="808080"/>
          </a:solidFill>
          <a:prstDash val="sysDot"/>
          <a:round/>
          <a:headEnd type="oval" w="sm" len="sm"/>
          <a:tailEnd type="arrow" w="sm" len="med"/>
        </a:ln>
        <a:extLst>
          <a:ext uri="{909E8E84-426E-40DD-AFC4-6F175D3DCCD1}">
            <a14:hiddenFill xmlns:a14="http://schemas.microsoft.com/office/drawing/2010/main">
              <a:no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38100</xdr:colOff>
      <xdr:row>12</xdr:row>
      <xdr:rowOff>133350</xdr:rowOff>
    </xdr:from>
    <xdr:to>
      <xdr:col>4</xdr:col>
      <xdr:colOff>238125</xdr:colOff>
      <xdr:row>12</xdr:row>
      <xdr:rowOff>133350</xdr:rowOff>
    </xdr:to>
    <xdr:sp macro="" textlink="">
      <xdr:nvSpPr>
        <xdr:cNvPr id="2" name="Line 6"/>
        <xdr:cNvSpPr>
          <a:spLocks noChangeShapeType="1"/>
        </xdr:cNvSpPr>
      </xdr:nvSpPr>
      <xdr:spPr bwMode="auto">
        <a:xfrm>
          <a:off x="1485900" y="2600325"/>
          <a:ext cx="200025" cy="0"/>
        </a:xfrm>
        <a:prstGeom prst="line">
          <a:avLst/>
        </a:prstGeom>
        <a:noFill/>
        <a:ln w="19050">
          <a:solidFill>
            <a:srgbClr val="808080"/>
          </a:solidFill>
          <a:prstDash val="sysDot"/>
          <a:round/>
          <a:headEnd type="oval" w="sm" len="sm"/>
          <a:tailEnd type="arrow" w="sm" len="med"/>
        </a:ln>
        <a:extLst>
          <a:ext uri="{909E8E84-426E-40DD-AFC4-6F175D3DCCD1}">
            <a14:hiddenFill xmlns:a14="http://schemas.microsoft.com/office/drawing/2010/main">
              <a:noFill/>
            </a14:hiddenFill>
          </a:ext>
        </a:extLst>
      </xdr:spPr>
    </xdr:sp>
    <xdr:clientData/>
  </xdr:twoCellAnchor>
  <xdr:twoCellAnchor>
    <xdr:from>
      <xdr:col>4</xdr:col>
      <xdr:colOff>28575</xdr:colOff>
      <xdr:row>16</xdr:row>
      <xdr:rowOff>38100</xdr:rowOff>
    </xdr:from>
    <xdr:to>
      <xdr:col>4</xdr:col>
      <xdr:colOff>219075</xdr:colOff>
      <xdr:row>16</xdr:row>
      <xdr:rowOff>38100</xdr:rowOff>
    </xdr:to>
    <xdr:sp macro="" textlink="">
      <xdr:nvSpPr>
        <xdr:cNvPr id="3" name="Line 2"/>
        <xdr:cNvSpPr>
          <a:spLocks noChangeShapeType="1"/>
        </xdr:cNvSpPr>
      </xdr:nvSpPr>
      <xdr:spPr bwMode="auto">
        <a:xfrm>
          <a:off x="1476375" y="3200400"/>
          <a:ext cx="190500" cy="0"/>
        </a:xfrm>
        <a:prstGeom prst="line">
          <a:avLst/>
        </a:prstGeom>
        <a:noFill/>
        <a:ln w="19050">
          <a:solidFill>
            <a:srgbClr val="808080"/>
          </a:solidFill>
          <a:prstDash val="sysDot"/>
          <a:round/>
          <a:headEnd type="oval" w="sm" len="sm"/>
          <a:tailEnd type="arrow" w="sm" len="med"/>
        </a:ln>
        <a:extLst>
          <a:ext uri="{909E8E84-426E-40DD-AFC4-6F175D3DCCD1}">
            <a14:hiddenFill xmlns:a14="http://schemas.microsoft.com/office/drawing/2010/main">
              <a:noFill/>
            </a14:hiddenFill>
          </a:ext>
        </a:extLst>
      </xdr:spPr>
    </xdr:sp>
    <xdr:clientData/>
  </xdr:twoCellAnchor>
  <xdr:twoCellAnchor>
    <xdr:from>
      <xdr:col>4</xdr:col>
      <xdr:colOff>38100</xdr:colOff>
      <xdr:row>20</xdr:row>
      <xdr:rowOff>38100</xdr:rowOff>
    </xdr:from>
    <xdr:to>
      <xdr:col>4</xdr:col>
      <xdr:colOff>228600</xdr:colOff>
      <xdr:row>20</xdr:row>
      <xdr:rowOff>38100</xdr:rowOff>
    </xdr:to>
    <xdr:sp macro="" textlink="">
      <xdr:nvSpPr>
        <xdr:cNvPr id="4" name="Line 3"/>
        <xdr:cNvSpPr>
          <a:spLocks noChangeShapeType="1"/>
        </xdr:cNvSpPr>
      </xdr:nvSpPr>
      <xdr:spPr bwMode="auto">
        <a:xfrm>
          <a:off x="1485900" y="3895725"/>
          <a:ext cx="190500" cy="0"/>
        </a:xfrm>
        <a:prstGeom prst="line">
          <a:avLst/>
        </a:prstGeom>
        <a:noFill/>
        <a:ln w="19050">
          <a:solidFill>
            <a:srgbClr val="808080"/>
          </a:solidFill>
          <a:prstDash val="sysDot"/>
          <a:round/>
          <a:headEnd type="oval" w="sm" len="sm"/>
          <a:tailEnd type="arrow" w="sm" len="med"/>
        </a:ln>
        <a:extLst>
          <a:ext uri="{909E8E84-426E-40DD-AFC4-6F175D3DCCD1}">
            <a14:hiddenFill xmlns:a14="http://schemas.microsoft.com/office/drawing/2010/main">
              <a:noFill/>
            </a14:hiddenFill>
          </a:ext>
        </a:extLst>
      </xdr:spPr>
    </xdr:sp>
    <xdr:clientData/>
  </xdr:twoCellAnchor>
  <xdr:twoCellAnchor>
    <xdr:from>
      <xdr:col>4</xdr:col>
      <xdr:colOff>38100</xdr:colOff>
      <xdr:row>24</xdr:row>
      <xdr:rowOff>57150</xdr:rowOff>
    </xdr:from>
    <xdr:to>
      <xdr:col>4</xdr:col>
      <xdr:colOff>228600</xdr:colOff>
      <xdr:row>24</xdr:row>
      <xdr:rowOff>57150</xdr:rowOff>
    </xdr:to>
    <xdr:sp macro="" textlink="">
      <xdr:nvSpPr>
        <xdr:cNvPr id="5" name="Line 4"/>
        <xdr:cNvSpPr>
          <a:spLocks noChangeShapeType="1"/>
        </xdr:cNvSpPr>
      </xdr:nvSpPr>
      <xdr:spPr bwMode="auto">
        <a:xfrm>
          <a:off x="1485900" y="4610100"/>
          <a:ext cx="190500" cy="0"/>
        </a:xfrm>
        <a:prstGeom prst="line">
          <a:avLst/>
        </a:prstGeom>
        <a:noFill/>
        <a:ln w="19050">
          <a:solidFill>
            <a:srgbClr val="808080"/>
          </a:solidFill>
          <a:prstDash val="sysDot"/>
          <a:round/>
          <a:headEnd type="oval" w="sm" len="sm"/>
          <a:tailEnd type="arrow" w="sm" len="med"/>
        </a:ln>
        <a:extLst>
          <a:ext uri="{909E8E84-426E-40DD-AFC4-6F175D3DCCD1}">
            <a14:hiddenFill xmlns:a14="http://schemas.microsoft.com/office/drawing/2010/main">
              <a:noFill/>
            </a14:hiddenFill>
          </a:ext>
        </a:extLst>
      </xdr:spPr>
    </xdr:sp>
    <xdr:clientData/>
  </xdr:twoCellAnchor>
  <xdr:twoCellAnchor>
    <xdr:from>
      <xdr:col>4</xdr:col>
      <xdr:colOff>57150</xdr:colOff>
      <xdr:row>28</xdr:row>
      <xdr:rowOff>66675</xdr:rowOff>
    </xdr:from>
    <xdr:to>
      <xdr:col>4</xdr:col>
      <xdr:colOff>247650</xdr:colOff>
      <xdr:row>28</xdr:row>
      <xdr:rowOff>66675</xdr:rowOff>
    </xdr:to>
    <xdr:sp macro="" textlink="">
      <xdr:nvSpPr>
        <xdr:cNvPr id="6" name="Line 5"/>
        <xdr:cNvSpPr>
          <a:spLocks noChangeShapeType="1"/>
        </xdr:cNvSpPr>
      </xdr:nvSpPr>
      <xdr:spPr bwMode="auto">
        <a:xfrm>
          <a:off x="1504950" y="5314950"/>
          <a:ext cx="190500" cy="0"/>
        </a:xfrm>
        <a:prstGeom prst="line">
          <a:avLst/>
        </a:prstGeom>
        <a:noFill/>
        <a:ln w="19050">
          <a:solidFill>
            <a:srgbClr val="808080"/>
          </a:solidFill>
          <a:prstDash val="sysDot"/>
          <a:round/>
          <a:headEnd type="oval" w="sm" len="sm"/>
          <a:tailEnd type="arrow" w="sm" len="med"/>
        </a:ln>
        <a:extLst>
          <a:ext uri="{909E8E84-426E-40DD-AFC4-6F175D3DCCD1}">
            <a14:hiddenFill xmlns:a14="http://schemas.microsoft.com/office/drawing/2010/main">
              <a:noFill/>
            </a14:hiddenFill>
          </a:ext>
        </a:extLst>
      </xdr:spPr>
    </xdr:sp>
    <xdr:clientData/>
  </xdr:twoCellAnchor>
  <xdr:twoCellAnchor>
    <xdr:from>
      <xdr:col>4</xdr:col>
      <xdr:colOff>9525</xdr:colOff>
      <xdr:row>14</xdr:row>
      <xdr:rowOff>76200</xdr:rowOff>
    </xdr:from>
    <xdr:to>
      <xdr:col>4</xdr:col>
      <xdr:colOff>200025</xdr:colOff>
      <xdr:row>14</xdr:row>
      <xdr:rowOff>76200</xdr:rowOff>
    </xdr:to>
    <xdr:sp macro="" textlink="">
      <xdr:nvSpPr>
        <xdr:cNvPr id="7" name="Line 7"/>
        <xdr:cNvSpPr>
          <a:spLocks noChangeShapeType="1"/>
        </xdr:cNvSpPr>
      </xdr:nvSpPr>
      <xdr:spPr bwMode="auto">
        <a:xfrm flipH="1">
          <a:off x="1457325" y="2886075"/>
          <a:ext cx="190500" cy="0"/>
        </a:xfrm>
        <a:prstGeom prst="line">
          <a:avLst/>
        </a:prstGeom>
        <a:noFill/>
        <a:ln w="19050">
          <a:solidFill>
            <a:srgbClr val="808080"/>
          </a:solidFill>
          <a:prstDash val="sysDot"/>
          <a:round/>
          <a:headEnd type="oval" w="sm" len="sm"/>
          <a:tailEnd type="arrow" w="sm" len="med"/>
        </a:ln>
        <a:extLst>
          <a:ext uri="{909E8E84-426E-40DD-AFC4-6F175D3DCCD1}">
            <a14:hiddenFill xmlns:a14="http://schemas.microsoft.com/office/drawing/2010/main">
              <a:noFill/>
            </a14:hiddenFill>
          </a:ext>
        </a:extLst>
      </xdr:spPr>
    </xdr:sp>
    <xdr:clientData/>
  </xdr:twoCellAnchor>
  <xdr:twoCellAnchor>
    <xdr:from>
      <xdr:col>3</xdr:col>
      <xdr:colOff>352425</xdr:colOff>
      <xdr:row>18</xdr:row>
      <xdr:rowOff>76200</xdr:rowOff>
    </xdr:from>
    <xdr:to>
      <xdr:col>4</xdr:col>
      <xdr:colOff>180975</xdr:colOff>
      <xdr:row>18</xdr:row>
      <xdr:rowOff>76200</xdr:rowOff>
    </xdr:to>
    <xdr:sp macro="" textlink="">
      <xdr:nvSpPr>
        <xdr:cNvPr id="8" name="Line 8"/>
        <xdr:cNvSpPr>
          <a:spLocks noChangeShapeType="1"/>
        </xdr:cNvSpPr>
      </xdr:nvSpPr>
      <xdr:spPr bwMode="auto">
        <a:xfrm flipH="1">
          <a:off x="1438275" y="3581400"/>
          <a:ext cx="190500" cy="0"/>
        </a:xfrm>
        <a:prstGeom prst="line">
          <a:avLst/>
        </a:prstGeom>
        <a:noFill/>
        <a:ln w="19050">
          <a:solidFill>
            <a:srgbClr val="808080"/>
          </a:solidFill>
          <a:prstDash val="sysDot"/>
          <a:round/>
          <a:headEnd type="oval" w="sm" len="sm"/>
          <a:tailEnd type="arrow" w="sm" len="med"/>
        </a:ln>
        <a:extLst>
          <a:ext uri="{909E8E84-426E-40DD-AFC4-6F175D3DCCD1}">
            <a14:hiddenFill xmlns:a14="http://schemas.microsoft.com/office/drawing/2010/main">
              <a:noFill/>
            </a14:hiddenFill>
          </a:ext>
        </a:extLst>
      </xdr:spPr>
    </xdr:sp>
    <xdr:clientData/>
  </xdr:twoCellAnchor>
  <xdr:twoCellAnchor>
    <xdr:from>
      <xdr:col>4</xdr:col>
      <xdr:colOff>9525</xdr:colOff>
      <xdr:row>22</xdr:row>
      <xdr:rowOff>28575</xdr:rowOff>
    </xdr:from>
    <xdr:to>
      <xdr:col>4</xdr:col>
      <xdr:colOff>200025</xdr:colOff>
      <xdr:row>22</xdr:row>
      <xdr:rowOff>28575</xdr:rowOff>
    </xdr:to>
    <xdr:sp macro="" textlink="">
      <xdr:nvSpPr>
        <xdr:cNvPr id="9" name="Line 9"/>
        <xdr:cNvSpPr>
          <a:spLocks noChangeShapeType="1"/>
        </xdr:cNvSpPr>
      </xdr:nvSpPr>
      <xdr:spPr bwMode="auto">
        <a:xfrm flipH="1">
          <a:off x="1457325" y="4229100"/>
          <a:ext cx="190500" cy="0"/>
        </a:xfrm>
        <a:prstGeom prst="line">
          <a:avLst/>
        </a:prstGeom>
        <a:noFill/>
        <a:ln w="19050">
          <a:solidFill>
            <a:srgbClr val="808080"/>
          </a:solidFill>
          <a:prstDash val="sysDot"/>
          <a:round/>
          <a:headEnd type="oval" w="sm" len="sm"/>
          <a:tailEnd type="arrow" w="sm" len="med"/>
        </a:ln>
        <a:extLst>
          <a:ext uri="{909E8E84-426E-40DD-AFC4-6F175D3DCCD1}">
            <a14:hiddenFill xmlns:a14="http://schemas.microsoft.com/office/drawing/2010/main">
              <a:noFill/>
            </a14:hiddenFill>
          </a:ext>
        </a:extLst>
      </xdr:spPr>
    </xdr:sp>
    <xdr:clientData/>
  </xdr:twoCellAnchor>
  <xdr:twoCellAnchor>
    <xdr:from>
      <xdr:col>4</xdr:col>
      <xdr:colOff>19050</xdr:colOff>
      <xdr:row>26</xdr:row>
      <xdr:rowOff>38100</xdr:rowOff>
    </xdr:from>
    <xdr:to>
      <xdr:col>4</xdr:col>
      <xdr:colOff>209550</xdr:colOff>
      <xdr:row>26</xdr:row>
      <xdr:rowOff>38100</xdr:rowOff>
    </xdr:to>
    <xdr:sp macro="" textlink="">
      <xdr:nvSpPr>
        <xdr:cNvPr id="10" name="Line 10"/>
        <xdr:cNvSpPr>
          <a:spLocks noChangeShapeType="1"/>
        </xdr:cNvSpPr>
      </xdr:nvSpPr>
      <xdr:spPr bwMode="auto">
        <a:xfrm flipH="1">
          <a:off x="1466850" y="4933950"/>
          <a:ext cx="190500" cy="0"/>
        </a:xfrm>
        <a:prstGeom prst="line">
          <a:avLst/>
        </a:prstGeom>
        <a:noFill/>
        <a:ln w="19050">
          <a:solidFill>
            <a:srgbClr val="808080"/>
          </a:solidFill>
          <a:prstDash val="sysDot"/>
          <a:round/>
          <a:headEnd type="oval" w="sm" len="sm"/>
          <a:tailEnd type="arrow" w="sm" len="med"/>
        </a:ln>
        <a:extLst>
          <a:ext uri="{909E8E84-426E-40DD-AFC4-6F175D3DCCD1}">
            <a14:hiddenFill xmlns:a14="http://schemas.microsoft.com/office/drawing/2010/main">
              <a:noFill/>
            </a14:hiddenFill>
          </a:ext>
        </a:extLst>
      </xdr:spPr>
    </xdr:sp>
    <xdr:clientData/>
  </xdr:twoCellAnchor>
  <xdr:twoCellAnchor>
    <xdr:from>
      <xdr:col>4</xdr:col>
      <xdr:colOff>19050</xdr:colOff>
      <xdr:row>30</xdr:row>
      <xdr:rowOff>57150</xdr:rowOff>
    </xdr:from>
    <xdr:to>
      <xdr:col>4</xdr:col>
      <xdr:colOff>209550</xdr:colOff>
      <xdr:row>30</xdr:row>
      <xdr:rowOff>57150</xdr:rowOff>
    </xdr:to>
    <xdr:sp macro="" textlink="">
      <xdr:nvSpPr>
        <xdr:cNvPr id="11" name="Line 11"/>
        <xdr:cNvSpPr>
          <a:spLocks noChangeShapeType="1"/>
        </xdr:cNvSpPr>
      </xdr:nvSpPr>
      <xdr:spPr bwMode="auto">
        <a:xfrm flipH="1">
          <a:off x="1466850" y="5648325"/>
          <a:ext cx="190500" cy="0"/>
        </a:xfrm>
        <a:prstGeom prst="line">
          <a:avLst/>
        </a:prstGeom>
        <a:noFill/>
        <a:ln w="19050">
          <a:solidFill>
            <a:srgbClr val="808080"/>
          </a:solidFill>
          <a:prstDash val="sysDot"/>
          <a:round/>
          <a:headEnd type="oval" w="sm" len="sm"/>
          <a:tailEnd type="arrow" w="sm" len="med"/>
        </a:ln>
        <a:extLst>
          <a:ext uri="{909E8E84-426E-40DD-AFC4-6F175D3DCCD1}">
            <a14:hiddenFill xmlns:a14="http://schemas.microsoft.com/office/drawing/2010/main">
              <a:noFill/>
            </a14:hiddenFill>
          </a:ext>
        </a:extLst>
      </xdr:spPr>
    </xdr:sp>
    <xdr:clientData/>
  </xdr:twoCellAnchor>
  <xdr:twoCellAnchor>
    <xdr:from>
      <xdr:col>14</xdr:col>
      <xdr:colOff>447675</xdr:colOff>
      <xdr:row>1</xdr:row>
      <xdr:rowOff>47625</xdr:rowOff>
    </xdr:from>
    <xdr:to>
      <xdr:col>17</xdr:col>
      <xdr:colOff>552449</xdr:colOff>
      <xdr:row>6</xdr:row>
      <xdr:rowOff>57150</xdr:rowOff>
    </xdr:to>
    <xdr:sp macro="" textlink="">
      <xdr:nvSpPr>
        <xdr:cNvPr id="12" name="円形吹き出し 11"/>
        <xdr:cNvSpPr/>
      </xdr:nvSpPr>
      <xdr:spPr>
        <a:xfrm>
          <a:off x="5791200" y="266700"/>
          <a:ext cx="1981199" cy="866775"/>
        </a:xfrm>
        <a:prstGeom prst="wedgeEllipseCallout">
          <a:avLst>
            <a:gd name="adj1" fmla="val -35556"/>
            <a:gd name="adj2" fmla="val 36127"/>
          </a:avLst>
        </a:prstGeom>
        <a:solidFill>
          <a:schemeClr val="bg1"/>
        </a:solid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2400" b="1" cap="none" spc="0">
              <a:ln w="12700">
                <a:solidFill>
                  <a:srgbClr val="FF0000"/>
                </a:solidFill>
                <a:prstDash val="solid"/>
              </a:ln>
              <a:solidFill>
                <a:schemeClr val="bg2">
                  <a:tint val="85000"/>
                  <a:satMod val="155000"/>
                </a:schemeClr>
              </a:solidFill>
              <a:effectLst>
                <a:outerShdw blurRad="41275" dist="20320" dir="1800000" algn="tl" rotWithShape="0">
                  <a:srgbClr val="000000">
                    <a:alpha val="40000"/>
                  </a:srgbClr>
                </a:outerShdw>
              </a:effectLst>
              <a:latin typeface="HGP創英角ﾎﾟｯﾌﾟ体" pitchFamily="50" charset="-128"/>
              <a:ea typeface="HGP創英角ﾎﾟｯﾌﾟ体" pitchFamily="50" charset="-128"/>
            </a:rPr>
            <a:t>記 入 例</a:t>
          </a:r>
        </a:p>
      </xdr:txBody>
    </xdr:sp>
    <xdr:clientData/>
  </xdr:twoCellAnchor>
  <xdr:twoCellAnchor>
    <xdr:from>
      <xdr:col>10</xdr:col>
      <xdr:colOff>342900</xdr:colOff>
      <xdr:row>2</xdr:row>
      <xdr:rowOff>85726</xdr:rowOff>
    </xdr:from>
    <xdr:to>
      <xdr:col>13</xdr:col>
      <xdr:colOff>295275</xdr:colOff>
      <xdr:row>4</xdr:row>
      <xdr:rowOff>85726</xdr:rowOff>
    </xdr:to>
    <xdr:sp macro="" textlink="">
      <xdr:nvSpPr>
        <xdr:cNvPr id="13" name="線吹き出し 1 (枠付き) 12"/>
        <xdr:cNvSpPr/>
      </xdr:nvSpPr>
      <xdr:spPr>
        <a:xfrm>
          <a:off x="4200525" y="476251"/>
          <a:ext cx="1123950" cy="342900"/>
        </a:xfrm>
        <a:prstGeom prst="borderCallout1">
          <a:avLst>
            <a:gd name="adj1" fmla="val 18750"/>
            <a:gd name="adj2" fmla="val -8333"/>
            <a:gd name="adj3" fmla="val -74038"/>
            <a:gd name="adj4" fmla="val -23926"/>
          </a:avLst>
        </a:prstGeom>
        <a:solidFill>
          <a:sysClr val="window" lastClr="FFFFFF"/>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rPr>
            <a:t>どちらかにチェック</a:t>
          </a:r>
        </a:p>
      </xdr:txBody>
    </xdr:sp>
    <xdr:clientData/>
  </xdr:twoCellAnchor>
  <xdr:twoCellAnchor>
    <xdr:from>
      <xdr:col>15</xdr:col>
      <xdr:colOff>533400</xdr:colOff>
      <xdr:row>6</xdr:row>
      <xdr:rowOff>209550</xdr:rowOff>
    </xdr:from>
    <xdr:to>
      <xdr:col>16</xdr:col>
      <xdr:colOff>295275</xdr:colOff>
      <xdr:row>9</xdr:row>
      <xdr:rowOff>133350</xdr:rowOff>
    </xdr:to>
    <xdr:sp macro="" textlink="">
      <xdr:nvSpPr>
        <xdr:cNvPr id="14" name="円形吹き出し 13"/>
        <xdr:cNvSpPr/>
      </xdr:nvSpPr>
      <xdr:spPr>
        <a:xfrm>
          <a:off x="6534150" y="1285875"/>
          <a:ext cx="419100" cy="552450"/>
        </a:xfrm>
        <a:prstGeom prst="wedgeEllipseCallout">
          <a:avLst>
            <a:gd name="adj1" fmla="val -6547"/>
            <a:gd name="adj2" fmla="val 41346"/>
          </a:avLst>
        </a:prstGeom>
        <a:solidFill>
          <a:sysClr val="window" lastClr="FFFFFF"/>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chemeClr val="tx1"/>
              </a:solidFill>
            </a:rPr>
            <a:t>押印</a:t>
          </a:r>
          <a:endParaRPr kumimoji="1" lang="en-US" altLang="ja-JP" sz="900">
            <a:solidFill>
              <a:schemeClr val="tx1"/>
            </a:solidFill>
          </a:endParaRPr>
        </a:p>
      </xdr:txBody>
    </xdr:sp>
    <xdr:clientData/>
  </xdr:twoCellAnchor>
  <xdr:twoCellAnchor>
    <xdr:from>
      <xdr:col>1</xdr:col>
      <xdr:colOff>57150</xdr:colOff>
      <xdr:row>33</xdr:row>
      <xdr:rowOff>47625</xdr:rowOff>
    </xdr:from>
    <xdr:to>
      <xdr:col>14</xdr:col>
      <xdr:colOff>609600</xdr:colOff>
      <xdr:row>34</xdr:row>
      <xdr:rowOff>2495550</xdr:rowOff>
    </xdr:to>
    <xdr:pic>
      <xdr:nvPicPr>
        <xdr:cNvPr id="15" name="図 29" descr="無題"/>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9100" y="6162675"/>
          <a:ext cx="5534025" cy="2686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5</xdr:col>
      <xdr:colOff>581025</xdr:colOff>
      <xdr:row>10</xdr:row>
      <xdr:rowOff>28575</xdr:rowOff>
    </xdr:from>
    <xdr:to>
      <xdr:col>5</xdr:col>
      <xdr:colOff>1152525</xdr:colOff>
      <xdr:row>11</xdr:row>
      <xdr:rowOff>333375</xdr:rowOff>
    </xdr:to>
    <xdr:sp macro="" textlink="">
      <xdr:nvSpPr>
        <xdr:cNvPr id="237186" name="Oval 106"/>
        <xdr:cNvSpPr>
          <a:spLocks noChangeAspect="1" noChangeArrowheads="1"/>
        </xdr:cNvSpPr>
      </xdr:nvSpPr>
      <xdr:spPr bwMode="auto">
        <a:xfrm>
          <a:off x="5915025" y="2209800"/>
          <a:ext cx="571500" cy="552450"/>
        </a:xfrm>
        <a:prstGeom prst="ellipse">
          <a:avLst/>
        </a:prstGeom>
        <a:noFill/>
        <a:ln w="28575"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1000125</xdr:colOff>
      <xdr:row>19</xdr:row>
      <xdr:rowOff>95251</xdr:rowOff>
    </xdr:from>
    <xdr:to>
      <xdr:col>1</xdr:col>
      <xdr:colOff>1219200</xdr:colOff>
      <xdr:row>20</xdr:row>
      <xdr:rowOff>142876</xdr:rowOff>
    </xdr:to>
    <xdr:sp macro="" textlink="">
      <xdr:nvSpPr>
        <xdr:cNvPr id="48241" name="Oval 113"/>
        <xdr:cNvSpPr>
          <a:spLocks noChangeArrowheads="1"/>
        </xdr:cNvSpPr>
      </xdr:nvSpPr>
      <xdr:spPr bwMode="auto">
        <a:xfrm>
          <a:off x="2143125" y="4200526"/>
          <a:ext cx="219075" cy="238125"/>
        </a:xfrm>
        <a:prstGeom prst="ellipse">
          <a:avLst/>
        </a:prstGeom>
        <a:solidFill>
          <a:srgbClr val="FFFFFF"/>
        </a:solidFill>
        <a:ln w="9525" algn="ctr">
          <a:solidFill>
            <a:srgbClr val="808080"/>
          </a:solidFill>
          <a:round/>
          <a:headEnd/>
          <a:tailEnd/>
        </a:ln>
        <a:effectLst/>
      </xdr:spPr>
      <xdr:txBody>
        <a:bodyPr vertOverflow="clip" wrap="square" lIns="27432" tIns="18288" rIns="27432" bIns="0" anchor="t" upright="1"/>
        <a:lstStyle/>
        <a:p>
          <a:pPr algn="ctr" rtl="0">
            <a:defRPr sz="1000"/>
          </a:pPr>
          <a:r>
            <a:rPr lang="ja-JP" altLang="en-US" sz="800" b="0" i="0" u="none" strike="noStrike" baseline="0">
              <a:solidFill>
                <a:srgbClr val="808080"/>
              </a:solidFill>
              <a:latin typeface="ＭＳ Ｐゴシック"/>
              <a:ea typeface="ＭＳ Ｐゴシック"/>
            </a:rPr>
            <a:t>印</a:t>
          </a:r>
        </a:p>
      </xdr:txBody>
    </xdr:sp>
    <xdr:clientData/>
  </xdr:twoCellAnchor>
  <xdr:twoCellAnchor>
    <xdr:from>
      <xdr:col>2</xdr:col>
      <xdr:colOff>657224</xdr:colOff>
      <xdr:row>19</xdr:row>
      <xdr:rowOff>104776</xdr:rowOff>
    </xdr:from>
    <xdr:to>
      <xdr:col>2</xdr:col>
      <xdr:colOff>847724</xdr:colOff>
      <xdr:row>20</xdr:row>
      <xdr:rowOff>152401</xdr:rowOff>
    </xdr:to>
    <xdr:sp macro="" textlink="">
      <xdr:nvSpPr>
        <xdr:cNvPr id="48243" name="Oval 115"/>
        <xdr:cNvSpPr>
          <a:spLocks noChangeArrowheads="1"/>
        </xdr:cNvSpPr>
      </xdr:nvSpPr>
      <xdr:spPr bwMode="auto">
        <a:xfrm flipH="1">
          <a:off x="3133724" y="4210051"/>
          <a:ext cx="190500" cy="238125"/>
        </a:xfrm>
        <a:prstGeom prst="ellipse">
          <a:avLst/>
        </a:prstGeom>
        <a:solidFill>
          <a:srgbClr val="FFFFFF"/>
        </a:solidFill>
        <a:ln w="9525" algn="ctr">
          <a:solidFill>
            <a:srgbClr val="808080"/>
          </a:solidFill>
          <a:round/>
          <a:headEnd/>
          <a:tailEnd/>
        </a:ln>
        <a:effectLst/>
      </xdr:spPr>
      <xdr:txBody>
        <a:bodyPr vertOverflow="clip" wrap="square" lIns="27432" tIns="18288" rIns="27432" bIns="0" anchor="t" upright="1"/>
        <a:lstStyle/>
        <a:p>
          <a:pPr algn="ctr" rtl="0">
            <a:defRPr sz="1000"/>
          </a:pPr>
          <a:r>
            <a:rPr lang="ja-JP" altLang="en-US" sz="800" b="0" i="0" u="none" strike="noStrike" baseline="0">
              <a:solidFill>
                <a:srgbClr val="808080"/>
              </a:solidFill>
              <a:latin typeface="ＭＳ Ｐゴシック"/>
              <a:ea typeface="ＭＳ Ｐゴシック"/>
            </a:rPr>
            <a:t>印</a:t>
          </a:r>
        </a:p>
      </xdr:txBody>
    </xdr:sp>
    <xdr:clientData/>
  </xdr:twoCellAnchor>
  <xdr:twoCellAnchor>
    <xdr:from>
      <xdr:col>0</xdr:col>
      <xdr:colOff>38100</xdr:colOff>
      <xdr:row>68</xdr:row>
      <xdr:rowOff>38100</xdr:rowOff>
    </xdr:from>
    <xdr:to>
      <xdr:col>1</xdr:col>
      <xdr:colOff>447675</xdr:colOff>
      <xdr:row>70</xdr:row>
      <xdr:rowOff>152400</xdr:rowOff>
    </xdr:to>
    <xdr:sp macro="" textlink="">
      <xdr:nvSpPr>
        <xdr:cNvPr id="48253" name="Rectangle 125"/>
        <xdr:cNvSpPr>
          <a:spLocks noChangeArrowheads="1"/>
        </xdr:cNvSpPr>
      </xdr:nvSpPr>
      <xdr:spPr bwMode="auto">
        <a:xfrm>
          <a:off x="38100" y="12963525"/>
          <a:ext cx="1419225" cy="457200"/>
        </a:xfrm>
        <a:prstGeom prst="rect">
          <a:avLst/>
        </a:prstGeom>
        <a:solidFill>
          <a:srgbClr val="FFFFFF"/>
        </a:solidFill>
        <a:ln w="9525" algn="ctr">
          <a:solidFill>
            <a:srgbClr val="000000"/>
          </a:solidFill>
          <a:miter lim="800000"/>
          <a:headEnd/>
          <a:tailEnd/>
        </a:ln>
        <a:effec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明朝"/>
              <a:ea typeface="ＭＳ Ｐ明朝"/>
            </a:rPr>
            <a:t>会計管理課</a:t>
          </a:r>
        </a:p>
        <a:p>
          <a:pPr algn="l" rtl="0">
            <a:lnSpc>
              <a:spcPts val="1200"/>
            </a:lnSpc>
            <a:defRPr sz="1000"/>
          </a:pPr>
          <a:r>
            <a:rPr lang="ja-JP" altLang="en-US" sz="1100" b="0" i="0" u="none" strike="noStrike" baseline="0">
              <a:solidFill>
                <a:srgbClr val="000000"/>
              </a:solidFill>
              <a:latin typeface="ＭＳ Ｐ明朝"/>
              <a:ea typeface="ＭＳ Ｐ明朝"/>
            </a:rPr>
            <a:t>受　　　　 付</a:t>
          </a:r>
        </a:p>
      </xdr:txBody>
    </xdr:sp>
    <xdr:clientData/>
  </xdr:twoCellAnchor>
  <xdr:twoCellAnchor>
    <xdr:from>
      <xdr:col>0</xdr:col>
      <xdr:colOff>838200</xdr:colOff>
      <xdr:row>68</xdr:row>
      <xdr:rowOff>47625</xdr:rowOff>
    </xdr:from>
    <xdr:to>
      <xdr:col>0</xdr:col>
      <xdr:colOff>838200</xdr:colOff>
      <xdr:row>70</xdr:row>
      <xdr:rowOff>152400</xdr:rowOff>
    </xdr:to>
    <xdr:sp macro="" textlink="">
      <xdr:nvSpPr>
        <xdr:cNvPr id="237190" name="Line 126"/>
        <xdr:cNvSpPr>
          <a:spLocks noChangeShapeType="1"/>
        </xdr:cNvSpPr>
      </xdr:nvSpPr>
      <xdr:spPr bwMode="auto">
        <a:xfrm>
          <a:off x="838200" y="12982575"/>
          <a:ext cx="0" cy="4476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1628775</xdr:colOff>
      <xdr:row>13</xdr:row>
      <xdr:rowOff>104775</xdr:rowOff>
    </xdr:from>
    <xdr:to>
      <xdr:col>5</xdr:col>
      <xdr:colOff>1600200</xdr:colOff>
      <xdr:row>13</xdr:row>
      <xdr:rowOff>104775</xdr:rowOff>
    </xdr:to>
    <xdr:cxnSp macro="">
      <xdr:nvCxnSpPr>
        <xdr:cNvPr id="14" name="直線コネクタ 13"/>
        <xdr:cNvCxnSpPr/>
      </xdr:nvCxnSpPr>
      <xdr:spPr>
        <a:xfrm>
          <a:off x="4876800" y="895350"/>
          <a:ext cx="16954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476250</xdr:colOff>
      <xdr:row>21</xdr:row>
      <xdr:rowOff>0</xdr:rowOff>
    </xdr:from>
    <xdr:to>
      <xdr:col>11</xdr:col>
      <xdr:colOff>266700</xdr:colOff>
      <xdr:row>25</xdr:row>
      <xdr:rowOff>57150</xdr:rowOff>
    </xdr:to>
    <xdr:sp macro="" textlink="">
      <xdr:nvSpPr>
        <xdr:cNvPr id="12" name="テキスト ボックス 11"/>
        <xdr:cNvSpPr txBox="1"/>
      </xdr:nvSpPr>
      <xdr:spPr>
        <a:xfrm>
          <a:off x="7172325" y="3676649"/>
          <a:ext cx="3733800" cy="742951"/>
        </a:xfrm>
        <a:prstGeom prst="rect">
          <a:avLst/>
        </a:prstGeom>
        <a:solidFill>
          <a:srgbClr val="FFFF00"/>
        </a:solidFill>
        <a:ln w="317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chemeClr val="dk1"/>
              </a:solidFill>
              <a:latin typeface="+mn-lt"/>
              <a:ea typeface="+mn-ea"/>
              <a:cs typeface="+mn-cs"/>
            </a:rPr>
            <a:t>雇用保険料率が</a:t>
          </a:r>
          <a:r>
            <a:rPr kumimoji="1" lang="ja-JP" altLang="ja-JP" sz="1100">
              <a:solidFill>
                <a:schemeClr val="dk1"/>
              </a:solidFill>
              <a:latin typeface="+mn-lt"/>
              <a:ea typeface="+mn-ea"/>
              <a:cs typeface="+mn-cs"/>
            </a:rPr>
            <a:t>平成２４年度より変更になりました。</a:t>
          </a:r>
          <a:endParaRPr kumimoji="1" lang="en-US" altLang="ja-JP" sz="1100">
            <a:solidFill>
              <a:schemeClr val="dk1"/>
            </a:solidFill>
            <a:latin typeface="+mn-lt"/>
            <a:ea typeface="+mn-ea"/>
            <a:cs typeface="+mn-cs"/>
          </a:endParaRPr>
        </a:p>
        <a:p>
          <a:r>
            <a:rPr kumimoji="1" lang="ja-JP" altLang="en-US" sz="1100"/>
            <a:t>計算式の赤字部分を入力時に確認してください。</a:t>
          </a:r>
          <a:endParaRPr kumimoji="1" lang="en-US" altLang="ja-JP" sz="1100"/>
        </a:p>
        <a:p>
          <a:r>
            <a:rPr kumimoji="1" lang="en-US" altLang="ja-JP" sz="1200" b="1">
              <a:latin typeface="+mn-ea"/>
              <a:ea typeface="+mn-ea"/>
            </a:rPr>
            <a:t>=IF(D15="</a:t>
          </a:r>
          <a:r>
            <a:rPr kumimoji="1" lang="ja-JP" altLang="en-US" sz="1200" b="1">
              <a:latin typeface="+mn-ea"/>
              <a:ea typeface="+mn-ea"/>
            </a:rPr>
            <a:t>有り</a:t>
          </a:r>
          <a:r>
            <a:rPr kumimoji="1" lang="en-US" altLang="ja-JP" sz="1200" b="1">
              <a:latin typeface="+mn-ea"/>
              <a:ea typeface="+mn-ea"/>
            </a:rPr>
            <a:t>",ROUNDDOWN($D$18*</a:t>
          </a:r>
          <a:r>
            <a:rPr kumimoji="1" lang="en-US" altLang="ja-JP" sz="1200" b="1">
              <a:solidFill>
                <a:srgbClr val="FF0000"/>
              </a:solidFill>
              <a:latin typeface="+mn-ea"/>
              <a:ea typeface="+mn-ea"/>
            </a:rPr>
            <a:t>5</a:t>
          </a:r>
          <a:r>
            <a:rPr kumimoji="1" lang="en-US" altLang="ja-JP" sz="1200" b="1">
              <a:latin typeface="+mn-ea"/>
              <a:ea typeface="+mn-ea"/>
            </a:rPr>
            <a:t>/</a:t>
          </a:r>
          <a:r>
            <a:rPr kumimoji="1" lang="en-US" altLang="ja-JP" sz="1200" b="0">
              <a:latin typeface="+mn-ea"/>
              <a:ea typeface="+mn-ea"/>
            </a:rPr>
            <a:t>1000,</a:t>
          </a:r>
          <a:r>
            <a:rPr kumimoji="1" lang="en-US" altLang="ja-JP" sz="1200" b="1">
              <a:latin typeface="+mn-ea"/>
              <a:ea typeface="+mn-ea"/>
            </a:rPr>
            <a:t>0),0)</a:t>
          </a:r>
          <a:endParaRPr kumimoji="1" lang="ja-JP" altLang="en-US" sz="1200" b="1">
            <a:latin typeface="+mn-ea"/>
            <a:ea typeface="+mn-ea"/>
          </a:endParaRPr>
        </a:p>
      </xdr:txBody>
    </xdr:sp>
    <xdr:clientData/>
  </xdr:twoCellAnchor>
  <xdr:twoCellAnchor>
    <xdr:from>
      <xdr:col>6</xdr:col>
      <xdr:colOff>133350</xdr:colOff>
      <xdr:row>21</xdr:row>
      <xdr:rowOff>0</xdr:rowOff>
    </xdr:from>
    <xdr:to>
      <xdr:col>6</xdr:col>
      <xdr:colOff>457200</xdr:colOff>
      <xdr:row>22</xdr:row>
      <xdr:rowOff>28575</xdr:rowOff>
    </xdr:to>
    <xdr:sp macro="" textlink="">
      <xdr:nvSpPr>
        <xdr:cNvPr id="16" name="左矢印 15"/>
        <xdr:cNvSpPr/>
      </xdr:nvSpPr>
      <xdr:spPr>
        <a:xfrm>
          <a:off x="6829425" y="3781425"/>
          <a:ext cx="323850" cy="238125"/>
        </a:xfrm>
        <a:prstGeom prst="lef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1</xdr:col>
      <xdr:colOff>95250</xdr:colOff>
      <xdr:row>19</xdr:row>
      <xdr:rowOff>114300</xdr:rowOff>
    </xdr:from>
    <xdr:to>
      <xdr:col>1</xdr:col>
      <xdr:colOff>285750</xdr:colOff>
      <xdr:row>20</xdr:row>
      <xdr:rowOff>152400</xdr:rowOff>
    </xdr:to>
    <xdr:sp macro="" textlink="">
      <xdr:nvSpPr>
        <xdr:cNvPr id="18" name="Oval 113"/>
        <xdr:cNvSpPr>
          <a:spLocks noChangeArrowheads="1"/>
        </xdr:cNvSpPr>
      </xdr:nvSpPr>
      <xdr:spPr bwMode="auto">
        <a:xfrm>
          <a:off x="1238250" y="4219575"/>
          <a:ext cx="190500" cy="228600"/>
        </a:xfrm>
        <a:prstGeom prst="ellipse">
          <a:avLst/>
        </a:prstGeom>
        <a:solidFill>
          <a:srgbClr val="FFFFFF"/>
        </a:solidFill>
        <a:ln w="9525" algn="ctr">
          <a:solidFill>
            <a:srgbClr val="808080"/>
          </a:solidFill>
          <a:round/>
          <a:headEnd/>
          <a:tailEnd/>
        </a:ln>
        <a:effectLst/>
      </xdr:spPr>
      <xdr:txBody>
        <a:bodyPr vertOverflow="clip" wrap="square" lIns="27432" tIns="18288" rIns="27432" bIns="0" anchor="t" upright="1"/>
        <a:lstStyle/>
        <a:p>
          <a:pPr algn="ctr" rtl="0">
            <a:defRPr sz="1000"/>
          </a:pPr>
          <a:r>
            <a:rPr lang="ja-JP" altLang="en-US" sz="800" b="0" i="0" u="none" strike="noStrike" baseline="0">
              <a:solidFill>
                <a:srgbClr val="808080"/>
              </a:solidFill>
              <a:latin typeface="ＭＳ Ｐゴシック"/>
              <a:ea typeface="ＭＳ Ｐゴシック"/>
            </a:rPr>
            <a:t>印</a:t>
          </a:r>
        </a:p>
      </xdr:txBody>
    </xdr:sp>
    <xdr:clientData/>
  </xdr:twoCellAnchor>
  <xdr:twoCellAnchor>
    <xdr:from>
      <xdr:col>9</xdr:col>
      <xdr:colOff>133350</xdr:colOff>
      <xdr:row>10</xdr:row>
      <xdr:rowOff>76200</xdr:rowOff>
    </xdr:from>
    <xdr:to>
      <xdr:col>10</xdr:col>
      <xdr:colOff>790575</xdr:colOff>
      <xdr:row>12</xdr:row>
      <xdr:rowOff>47625</xdr:rowOff>
    </xdr:to>
    <xdr:sp macro="" textlink="">
      <xdr:nvSpPr>
        <xdr:cNvPr id="17" name="円形吹き出し 16"/>
        <xdr:cNvSpPr/>
      </xdr:nvSpPr>
      <xdr:spPr>
        <a:xfrm>
          <a:off x="9486900" y="2257425"/>
          <a:ext cx="1762125" cy="571500"/>
        </a:xfrm>
        <a:prstGeom prst="wedgeEllipseCallout">
          <a:avLst>
            <a:gd name="adj1" fmla="val -20283"/>
            <a:gd name="adj2" fmla="val -85833"/>
          </a:avLst>
        </a:prstGeom>
        <a:solidFill>
          <a:schemeClr val="accent5">
            <a:lumMod val="40000"/>
            <a:lumOff val="60000"/>
          </a:schemeClr>
        </a:solidFill>
        <a:ln>
          <a:solidFill>
            <a:srgbClr val="00B0F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100"/>
            <a:t>さわらないでね！</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419100</xdr:colOff>
      <xdr:row>23</xdr:row>
      <xdr:rowOff>76200</xdr:rowOff>
    </xdr:from>
    <xdr:to>
      <xdr:col>5</xdr:col>
      <xdr:colOff>685800</xdr:colOff>
      <xdr:row>26</xdr:row>
      <xdr:rowOff>238125</xdr:rowOff>
    </xdr:to>
    <xdr:pic>
      <xdr:nvPicPr>
        <xdr:cNvPr id="195365"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rot="-60000">
          <a:off x="5257800" y="7162800"/>
          <a:ext cx="1114425"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923925</xdr:colOff>
      <xdr:row>24</xdr:row>
      <xdr:rowOff>171449</xdr:rowOff>
    </xdr:from>
    <xdr:to>
      <xdr:col>4</xdr:col>
      <xdr:colOff>752475</xdr:colOff>
      <xdr:row>25</xdr:row>
      <xdr:rowOff>238124</xdr:rowOff>
    </xdr:to>
    <xdr:sp macro="" textlink="">
      <xdr:nvSpPr>
        <xdr:cNvPr id="4" name="Text Box 1"/>
        <xdr:cNvSpPr txBox="1">
          <a:spLocks noChangeArrowheads="1"/>
        </xdr:cNvSpPr>
      </xdr:nvSpPr>
      <xdr:spPr bwMode="auto">
        <a:xfrm>
          <a:off x="2495550" y="7562849"/>
          <a:ext cx="3095625" cy="371475"/>
        </a:xfrm>
        <a:prstGeom prst="rect">
          <a:avLst/>
        </a:prstGeom>
        <a:noFill/>
        <a:ln w="9525" algn="ctr">
          <a:noFill/>
          <a:miter lim="800000"/>
          <a:headEnd/>
          <a:tailEnd/>
        </a:ln>
        <a:effectLst/>
      </xdr:spPr>
      <xdr:txBody>
        <a:bodyPr vertOverflow="clip" wrap="square" lIns="36576" tIns="22860" rIns="0" bIns="0" anchor="ctr" upright="1"/>
        <a:lstStyle/>
        <a:p>
          <a:pPr algn="l" rtl="0">
            <a:defRPr sz="1000"/>
          </a:pPr>
          <a:r>
            <a:rPr lang="ja-JP" altLang="en-US" sz="1400" b="0" i="0" u="none" strike="noStrike" baseline="0">
              <a:solidFill>
                <a:srgbClr val="000000"/>
              </a:solidFill>
              <a:latin typeface="ＭＳ Ｐゴシック"/>
              <a:ea typeface="ＭＳ Ｐゴシック"/>
            </a:rPr>
            <a:t>公立大学法人首都大学東京理事長</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447675</xdr:colOff>
      <xdr:row>32</xdr:row>
      <xdr:rowOff>0</xdr:rowOff>
    </xdr:from>
    <xdr:to>
      <xdr:col>0</xdr:col>
      <xdr:colOff>1419225</xdr:colOff>
      <xdr:row>35</xdr:row>
      <xdr:rowOff>323850</xdr:rowOff>
    </xdr:to>
    <xdr:sp macro="" textlink="">
      <xdr:nvSpPr>
        <xdr:cNvPr id="79888" name="Rectangle 16"/>
        <xdr:cNvSpPr>
          <a:spLocks noChangeArrowheads="1"/>
        </xdr:cNvSpPr>
      </xdr:nvSpPr>
      <xdr:spPr bwMode="auto">
        <a:xfrm>
          <a:off x="447675" y="9982200"/>
          <a:ext cx="971550" cy="1038225"/>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0" anchor="t" upright="1"/>
        <a:lstStyle/>
        <a:p>
          <a:pPr algn="ctr" rtl="0">
            <a:lnSpc>
              <a:spcPts val="1300"/>
            </a:lnSpc>
            <a:defRPr sz="1000"/>
          </a:pPr>
          <a:r>
            <a:rPr lang="ja-JP" altLang="en-US" sz="1100" b="0" i="0" u="none" strike="noStrike" baseline="0">
              <a:solidFill>
                <a:srgbClr val="000000"/>
              </a:solidFill>
              <a:latin typeface="ＭＳ Ｐ明朝"/>
              <a:ea typeface="ＭＳ Ｐ明朝"/>
            </a:rPr>
            <a:t>会計管理課</a:t>
          </a:r>
        </a:p>
        <a:p>
          <a:pPr algn="ctr" rtl="0">
            <a:lnSpc>
              <a:spcPts val="1300"/>
            </a:lnSpc>
            <a:defRPr sz="1000"/>
          </a:pPr>
          <a:r>
            <a:rPr lang="ja-JP" altLang="en-US" sz="1100" b="0" i="0" u="none" strike="noStrike" baseline="0">
              <a:solidFill>
                <a:srgbClr val="000000"/>
              </a:solidFill>
              <a:latin typeface="ＭＳ Ｐ明朝"/>
              <a:ea typeface="ＭＳ Ｐ明朝"/>
            </a:rPr>
            <a:t>受付</a:t>
          </a:r>
        </a:p>
      </xdr:txBody>
    </xdr:sp>
    <xdr:clientData/>
  </xdr:twoCellAnchor>
  <xdr:twoCellAnchor>
    <xdr:from>
      <xdr:col>0</xdr:col>
      <xdr:colOff>447675</xdr:colOff>
      <xdr:row>33</xdr:row>
      <xdr:rowOff>171450</xdr:rowOff>
    </xdr:from>
    <xdr:to>
      <xdr:col>0</xdr:col>
      <xdr:colOff>1419225</xdr:colOff>
      <xdr:row>33</xdr:row>
      <xdr:rowOff>171450</xdr:rowOff>
    </xdr:to>
    <xdr:sp macro="" textlink="">
      <xdr:nvSpPr>
        <xdr:cNvPr id="237807" name="Line 17"/>
        <xdr:cNvSpPr>
          <a:spLocks noChangeShapeType="1"/>
        </xdr:cNvSpPr>
      </xdr:nvSpPr>
      <xdr:spPr bwMode="auto">
        <a:xfrm>
          <a:off x="447675" y="10772775"/>
          <a:ext cx="9715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247650</xdr:colOff>
      <xdr:row>0</xdr:row>
      <xdr:rowOff>28575</xdr:rowOff>
    </xdr:from>
    <xdr:to>
      <xdr:col>5</xdr:col>
      <xdr:colOff>771525</xdr:colOff>
      <xdr:row>1</xdr:row>
      <xdr:rowOff>342900</xdr:rowOff>
    </xdr:to>
    <xdr:sp macro="" textlink="">
      <xdr:nvSpPr>
        <xdr:cNvPr id="237808" name="Oval 24"/>
        <xdr:cNvSpPr>
          <a:spLocks noChangeAspect="1" noChangeArrowheads="1"/>
        </xdr:cNvSpPr>
      </xdr:nvSpPr>
      <xdr:spPr bwMode="auto">
        <a:xfrm>
          <a:off x="6991350" y="28575"/>
          <a:ext cx="523875" cy="485775"/>
        </a:xfrm>
        <a:prstGeom prst="ellipse">
          <a:avLst/>
        </a:prstGeom>
        <a:noFill/>
        <a:ln w="28575"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533400</xdr:colOff>
      <xdr:row>22</xdr:row>
      <xdr:rowOff>114300</xdr:rowOff>
    </xdr:from>
    <xdr:to>
      <xdr:col>12</xdr:col>
      <xdr:colOff>152400</xdr:colOff>
      <xdr:row>25</xdr:row>
      <xdr:rowOff>104776</xdr:rowOff>
    </xdr:to>
    <xdr:sp macro="" textlink="">
      <xdr:nvSpPr>
        <xdr:cNvPr id="5" name="テキスト ボックス 4"/>
        <xdr:cNvSpPr txBox="1"/>
      </xdr:nvSpPr>
      <xdr:spPr>
        <a:xfrm>
          <a:off x="8258175" y="7610475"/>
          <a:ext cx="3733800" cy="1076326"/>
        </a:xfrm>
        <a:prstGeom prst="rect">
          <a:avLst/>
        </a:prstGeom>
        <a:solidFill>
          <a:srgbClr val="FFFF00"/>
        </a:solidFill>
        <a:ln w="317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chemeClr val="dk1"/>
              </a:solidFill>
              <a:latin typeface="+mn-lt"/>
              <a:ea typeface="+mn-ea"/>
              <a:cs typeface="+mn-cs"/>
            </a:rPr>
            <a:t>雇用保険料率が</a:t>
          </a:r>
          <a:r>
            <a:rPr kumimoji="1" lang="ja-JP" altLang="ja-JP" sz="1100">
              <a:solidFill>
                <a:schemeClr val="dk1"/>
              </a:solidFill>
              <a:latin typeface="+mn-lt"/>
              <a:ea typeface="+mn-ea"/>
              <a:cs typeface="+mn-cs"/>
            </a:rPr>
            <a:t>平成２４年度より変更になりました。</a:t>
          </a:r>
          <a:endParaRPr kumimoji="1" lang="en-US" altLang="ja-JP" sz="1100">
            <a:solidFill>
              <a:schemeClr val="dk1"/>
            </a:solidFill>
            <a:latin typeface="+mn-lt"/>
            <a:ea typeface="+mn-ea"/>
            <a:cs typeface="+mn-cs"/>
          </a:endParaRPr>
        </a:p>
        <a:p>
          <a:r>
            <a:rPr kumimoji="1" lang="ja-JP" altLang="en-US" sz="1100"/>
            <a:t>計算式の赤字部分を入力時に確認してください。</a:t>
          </a:r>
          <a:endParaRPr kumimoji="1" lang="en-US" altLang="ja-JP" sz="1100"/>
        </a:p>
        <a:p>
          <a:r>
            <a:rPr kumimoji="1" lang="en-US" altLang="ja-JP" sz="1200" b="1">
              <a:latin typeface="+mn-ea"/>
              <a:ea typeface="+mn-ea"/>
            </a:rPr>
            <a:t>=IF(D15="</a:t>
          </a:r>
          <a:r>
            <a:rPr kumimoji="1" lang="ja-JP" altLang="en-US" sz="1200" b="1">
              <a:latin typeface="+mn-ea"/>
              <a:ea typeface="+mn-ea"/>
            </a:rPr>
            <a:t>有り</a:t>
          </a:r>
          <a:r>
            <a:rPr kumimoji="1" lang="en-US" altLang="ja-JP" sz="1200" b="1">
              <a:latin typeface="+mn-ea"/>
              <a:ea typeface="+mn-ea"/>
            </a:rPr>
            <a:t>",ROUNDDOWN($D$18*</a:t>
          </a:r>
          <a:r>
            <a:rPr kumimoji="1" lang="en-US" altLang="ja-JP" sz="1200" b="1">
              <a:solidFill>
                <a:srgbClr val="FF0000"/>
              </a:solidFill>
              <a:latin typeface="+mn-ea"/>
              <a:ea typeface="+mn-ea"/>
            </a:rPr>
            <a:t>5</a:t>
          </a:r>
          <a:r>
            <a:rPr kumimoji="1" lang="en-US" altLang="ja-JP" sz="1200" b="1">
              <a:latin typeface="+mn-ea"/>
              <a:ea typeface="+mn-ea"/>
            </a:rPr>
            <a:t>/</a:t>
          </a:r>
          <a:r>
            <a:rPr kumimoji="1" lang="en-US" altLang="ja-JP" sz="1200" b="0">
              <a:latin typeface="+mn-ea"/>
              <a:ea typeface="+mn-ea"/>
            </a:rPr>
            <a:t>1000,</a:t>
          </a:r>
          <a:r>
            <a:rPr kumimoji="1" lang="en-US" altLang="ja-JP" sz="1200" b="1">
              <a:latin typeface="+mn-ea"/>
              <a:ea typeface="+mn-ea"/>
            </a:rPr>
            <a:t>0),0)</a:t>
          </a:r>
          <a:endParaRPr kumimoji="1" lang="ja-JP" altLang="en-US" sz="1200" b="1">
            <a:latin typeface="+mn-ea"/>
            <a:ea typeface="+mn-ea"/>
          </a:endParaRPr>
        </a:p>
      </xdr:txBody>
    </xdr:sp>
    <xdr:clientData/>
  </xdr:twoCellAnchor>
  <xdr:twoCellAnchor>
    <xdr:from>
      <xdr:col>6</xdr:col>
      <xdr:colOff>180975</xdr:colOff>
      <xdr:row>23</xdr:row>
      <xdr:rowOff>114301</xdr:rowOff>
    </xdr:from>
    <xdr:to>
      <xdr:col>6</xdr:col>
      <xdr:colOff>504825</xdr:colOff>
      <xdr:row>23</xdr:row>
      <xdr:rowOff>352426</xdr:rowOff>
    </xdr:to>
    <xdr:sp macro="" textlink="">
      <xdr:nvSpPr>
        <xdr:cNvPr id="6" name="左矢印 5"/>
        <xdr:cNvSpPr/>
      </xdr:nvSpPr>
      <xdr:spPr>
        <a:xfrm>
          <a:off x="7905750" y="7972426"/>
          <a:ext cx="323850" cy="238125"/>
        </a:xfrm>
        <a:prstGeom prst="lef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428625</xdr:colOff>
      <xdr:row>23</xdr:row>
      <xdr:rowOff>142875</xdr:rowOff>
    </xdr:from>
    <xdr:to>
      <xdr:col>5</xdr:col>
      <xdr:colOff>695325</xdr:colOff>
      <xdr:row>27</xdr:row>
      <xdr:rowOff>0</xdr:rowOff>
    </xdr:to>
    <xdr:pic>
      <xdr:nvPicPr>
        <xdr:cNvPr id="19741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rot="-60000">
          <a:off x="5267325" y="7229475"/>
          <a:ext cx="1114425"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923925</xdr:colOff>
      <xdr:row>24</xdr:row>
      <xdr:rowOff>238126</xdr:rowOff>
    </xdr:from>
    <xdr:to>
      <xdr:col>4</xdr:col>
      <xdr:colOff>695325</xdr:colOff>
      <xdr:row>25</xdr:row>
      <xdr:rowOff>228600</xdr:rowOff>
    </xdr:to>
    <xdr:sp macro="" textlink="">
      <xdr:nvSpPr>
        <xdr:cNvPr id="91137" name="Text Box 1"/>
        <xdr:cNvSpPr txBox="1">
          <a:spLocks noChangeArrowheads="1"/>
        </xdr:cNvSpPr>
      </xdr:nvSpPr>
      <xdr:spPr bwMode="auto">
        <a:xfrm>
          <a:off x="2495550" y="7629526"/>
          <a:ext cx="3038475" cy="295274"/>
        </a:xfrm>
        <a:prstGeom prst="rect">
          <a:avLst/>
        </a:prstGeom>
        <a:noFill/>
        <a:ln w="9525" algn="ctr">
          <a:noFill/>
          <a:miter lim="800000"/>
          <a:headEnd/>
          <a:tailEnd/>
        </a:ln>
        <a:effectLst/>
      </xdr:spPr>
      <xdr:txBody>
        <a:bodyPr vertOverflow="clip" wrap="square" lIns="36576" tIns="22860" rIns="0" bIns="0" anchor="t" upright="1"/>
        <a:lstStyle/>
        <a:p>
          <a:pPr algn="l" rtl="0">
            <a:defRPr sz="1000"/>
          </a:pPr>
          <a:r>
            <a:rPr lang="ja-JP" altLang="en-US" sz="1400" b="0" i="0" u="none" strike="noStrike" baseline="0">
              <a:solidFill>
                <a:srgbClr val="000000"/>
              </a:solidFill>
              <a:latin typeface="ＭＳ Ｐゴシック"/>
              <a:ea typeface="ＭＳ Ｐゴシック"/>
            </a:rPr>
            <a:t>公立大学法人首都大学東京理事長</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andisk\disk\Documents%20and%20Settings\jimu\&#12487;&#12473;&#12463;&#12488;&#12483;&#12503;\&#27096;&#24335;&#38598;&#65288;&#25945;&#21729;&#36865;&#20184;&#28168;&#12415;&#65289;\&#27096;&#24335;&#38598;170801\&#20154;&#20107;&#20418;\12&#12288;&#21220;&#21209;&#26178;&#38291;&#21046;&#24230;\&#21029;&#32025;&#65297;&#12539;&#65298;&#12289;&#21029;&#35352;&#31532;&#65297;&#12539;&#65298;&#12539;&#65301;&#21495;&#27096;&#2433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s-htgl48b\kaikei\Documents%20and%20Settings\jimu\Local%20Settings\Temporary%20Internet%20Files\Content.IE5\9G4NTX41\&#20154;&#20107;&#20418;\12&#12288;&#21220;&#21209;&#26178;&#38291;&#21046;&#24230;\&#21029;&#32025;&#65297;&#12539;&#65298;&#12289;&#21029;&#35352;&#31532;&#65297;&#12539;&#65298;&#12539;&#65301;&#21495;&#27096;&#2433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別紙１"/>
      <sheetName val="別紙２"/>
      <sheetName val="別記第１号様式"/>
      <sheetName val="別記第２号様式"/>
      <sheetName val="別記第５号様式"/>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別紙１"/>
      <sheetName val="別紙２"/>
      <sheetName val="別記第１号様式"/>
      <sheetName val="別記第２号様式"/>
      <sheetName val="別記第５号様式"/>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a:solidFill>
          <a:schemeClr val="lt1"/>
        </a:solidFill>
        <a:ln w="9525" cmpd="sng">
          <a:solidFill>
            <a:schemeClr val="lt1">
              <a:shade val="50000"/>
            </a:schemeClr>
          </a:solidFill>
        </a:ln>
      </a:spPr>
      <a:bodyPr vertOverflow="clip" wrap="square" rtlCol="0" anchor="t"/>
      <a:lstStyle>
        <a:defPPr>
          <a:defRPr kumimoji="1" sz="1100"/>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2"/>
    <pageSetUpPr fitToPage="1"/>
  </sheetPr>
  <dimension ref="A1:AQ59"/>
  <sheetViews>
    <sheetView tabSelected="1" topLeftCell="A19" workbookViewId="0">
      <selection activeCell="AN8" sqref="AN8"/>
    </sheetView>
  </sheetViews>
  <sheetFormatPr defaultColWidth="8.625" defaultRowHeight="12.75"/>
  <cols>
    <col min="1" max="39" width="2.625" style="492" customWidth="1"/>
    <col min="40" max="42" width="13.625" style="494" customWidth="1"/>
    <col min="43" max="43" width="9.375" style="494" bestFit="1" customWidth="1"/>
    <col min="44" max="16384" width="8.625" style="494"/>
  </cols>
  <sheetData>
    <row r="1" spans="1:39" ht="21.75" customHeight="1">
      <c r="A1" s="491"/>
      <c r="AB1" s="772"/>
      <c r="AC1" s="772"/>
      <c r="AD1" s="493"/>
      <c r="AE1" s="493"/>
      <c r="AF1" s="493"/>
      <c r="AM1" s="493"/>
    </row>
    <row r="2" spans="1:39" ht="30" customHeight="1" thickBot="1">
      <c r="A2" s="495" t="s">
        <v>373</v>
      </c>
      <c r="Q2" s="773"/>
      <c r="R2" s="773"/>
      <c r="S2" s="773"/>
      <c r="T2" s="773"/>
      <c r="U2" s="773"/>
      <c r="V2" s="773"/>
      <c r="W2" s="590"/>
      <c r="X2" s="773"/>
      <c r="Y2" s="773"/>
      <c r="Z2" s="590"/>
      <c r="AA2" s="773"/>
      <c r="AB2" s="773"/>
      <c r="AC2" s="590"/>
      <c r="AD2" s="590"/>
      <c r="AG2"/>
    </row>
    <row r="3" spans="1:39" ht="20.25" customHeight="1">
      <c r="A3" s="774" t="s">
        <v>374</v>
      </c>
      <c r="B3" s="775"/>
      <c r="C3" s="776"/>
      <c r="D3" s="777"/>
      <c r="E3" s="778"/>
      <c r="F3" s="778"/>
      <c r="G3" s="778"/>
      <c r="H3" s="778"/>
      <c r="I3" s="778"/>
      <c r="J3" s="778"/>
      <c r="K3" s="778"/>
      <c r="L3" s="778"/>
      <c r="M3" s="778"/>
      <c r="N3" s="778"/>
      <c r="O3" s="778"/>
      <c r="P3" s="778"/>
      <c r="Q3" s="778"/>
      <c r="R3" s="778"/>
      <c r="S3" s="778"/>
      <c r="T3" s="778"/>
      <c r="U3" s="778"/>
      <c r="V3" s="778"/>
      <c r="W3" s="778"/>
      <c r="X3" s="778"/>
      <c r="Y3" s="778"/>
      <c r="Z3" s="778"/>
      <c r="AA3" s="778"/>
      <c r="AB3" s="778"/>
      <c r="AC3" s="778"/>
      <c r="AD3" s="779"/>
      <c r="AE3" s="496"/>
      <c r="AF3" s="496"/>
      <c r="AM3" s="497"/>
    </row>
    <row r="4" spans="1:39" ht="18" customHeight="1">
      <c r="A4" s="780" t="s">
        <v>375</v>
      </c>
      <c r="B4" s="781"/>
      <c r="C4" s="782"/>
      <c r="D4" s="786"/>
      <c r="E4" s="787"/>
      <c r="F4" s="787"/>
      <c r="G4" s="787"/>
      <c r="H4" s="787"/>
      <c r="I4" s="787"/>
      <c r="J4" s="787"/>
      <c r="K4" s="787"/>
      <c r="L4" s="787"/>
      <c r="M4" s="787"/>
      <c r="N4" s="787"/>
      <c r="O4" s="787"/>
      <c r="P4" s="787"/>
      <c r="Q4" s="787"/>
      <c r="R4" s="787"/>
      <c r="S4" s="787"/>
      <c r="T4" s="787"/>
      <c r="U4" s="787"/>
      <c r="V4" s="787"/>
      <c r="W4" s="787"/>
      <c r="X4" s="787"/>
      <c r="Y4" s="787"/>
      <c r="Z4" s="787"/>
      <c r="AA4" s="787"/>
      <c r="AB4" s="787"/>
      <c r="AC4" s="787"/>
      <c r="AD4" s="788"/>
      <c r="AE4" s="498"/>
      <c r="AF4" s="498"/>
      <c r="AM4" s="498"/>
    </row>
    <row r="5" spans="1:39" ht="24" customHeight="1">
      <c r="A5" s="783"/>
      <c r="B5" s="784"/>
      <c r="C5" s="785"/>
      <c r="D5" s="789"/>
      <c r="E5" s="790"/>
      <c r="F5" s="790"/>
      <c r="G5" s="790"/>
      <c r="H5" s="790"/>
      <c r="I5" s="790"/>
      <c r="J5" s="790"/>
      <c r="K5" s="790"/>
      <c r="L5" s="790"/>
      <c r="M5" s="790"/>
      <c r="N5" s="790"/>
      <c r="O5" s="790"/>
      <c r="P5" s="790"/>
      <c r="Q5" s="790"/>
      <c r="R5" s="790"/>
      <c r="S5" s="790"/>
      <c r="T5" s="790"/>
      <c r="U5" s="790"/>
      <c r="V5" s="790"/>
      <c r="W5" s="790"/>
      <c r="X5" s="790"/>
      <c r="Y5" s="790"/>
      <c r="Z5" s="790"/>
      <c r="AA5" s="790"/>
      <c r="AB5" s="790"/>
      <c r="AC5" s="790"/>
      <c r="AD5" s="791"/>
      <c r="AE5" s="498"/>
      <c r="AF5" s="498"/>
      <c r="AM5" s="498"/>
    </row>
    <row r="6" spans="1:39" ht="27" customHeight="1">
      <c r="A6" s="755" t="s">
        <v>473</v>
      </c>
      <c r="B6" s="756"/>
      <c r="C6" s="756"/>
      <c r="D6" s="756"/>
      <c r="E6" s="759" t="s">
        <v>8</v>
      </c>
      <c r="F6" s="759"/>
      <c r="G6" s="759"/>
      <c r="H6" s="756"/>
      <c r="I6" s="756"/>
      <c r="J6" s="761" t="s">
        <v>301</v>
      </c>
      <c r="K6" s="761"/>
      <c r="L6" s="756"/>
      <c r="M6" s="756"/>
      <c r="N6" s="763" t="s">
        <v>376</v>
      </c>
      <c r="O6" s="763"/>
      <c r="P6" s="763"/>
      <c r="Q6" s="763"/>
      <c r="R6" s="756" t="s">
        <v>377</v>
      </c>
      <c r="S6" s="756"/>
      <c r="T6" s="756"/>
      <c r="U6" s="756"/>
      <c r="V6" s="756"/>
      <c r="W6" s="756"/>
      <c r="X6" s="756"/>
      <c r="Y6" s="765"/>
      <c r="Z6" s="767" t="s">
        <v>378</v>
      </c>
      <c r="AA6" s="768"/>
      <c r="AB6" s="768"/>
      <c r="AC6" s="768"/>
      <c r="AD6" s="769"/>
      <c r="AE6" s="498"/>
      <c r="AF6" s="498"/>
      <c r="AM6" s="498"/>
    </row>
    <row r="7" spans="1:39" ht="27" customHeight="1" thickBot="1">
      <c r="A7" s="757"/>
      <c r="B7" s="758"/>
      <c r="C7" s="758"/>
      <c r="D7" s="758"/>
      <c r="E7" s="760"/>
      <c r="F7" s="760"/>
      <c r="G7" s="760"/>
      <c r="H7" s="758"/>
      <c r="I7" s="758"/>
      <c r="J7" s="762"/>
      <c r="K7" s="762"/>
      <c r="L7" s="758"/>
      <c r="M7" s="758"/>
      <c r="N7" s="764"/>
      <c r="O7" s="764"/>
      <c r="P7" s="764"/>
      <c r="Q7" s="764"/>
      <c r="R7" s="758"/>
      <c r="S7" s="758"/>
      <c r="T7" s="758"/>
      <c r="U7" s="758"/>
      <c r="V7" s="758"/>
      <c r="W7" s="758"/>
      <c r="X7" s="758"/>
      <c r="Y7" s="766"/>
      <c r="Z7" s="734"/>
      <c r="AA7" s="735"/>
      <c r="AB7" s="735"/>
      <c r="AC7" s="735"/>
      <c r="AD7" s="736"/>
      <c r="AE7" s="498"/>
      <c r="AF7" s="498"/>
      <c r="AG7" s="498"/>
      <c r="AH7" s="498"/>
      <c r="AI7" s="498"/>
      <c r="AJ7" s="498"/>
      <c r="AK7" s="498"/>
      <c r="AL7" s="498"/>
      <c r="AM7" s="498"/>
    </row>
    <row r="8" spans="1:39" ht="23.25" customHeight="1">
      <c r="A8" s="737" t="s">
        <v>379</v>
      </c>
      <c r="B8" s="738"/>
      <c r="C8" s="738"/>
      <c r="D8" s="739"/>
      <c r="E8" s="739"/>
      <c r="F8" s="739"/>
      <c r="G8" s="739"/>
      <c r="H8" s="739"/>
      <c r="I8" s="739"/>
      <c r="J8" s="739"/>
      <c r="K8" s="739"/>
      <c r="L8" s="739"/>
      <c r="M8" s="739"/>
      <c r="N8" s="739"/>
      <c r="O8" s="739"/>
      <c r="P8" s="739"/>
      <c r="Q8" s="739"/>
      <c r="R8" s="739"/>
      <c r="S8" s="739"/>
      <c r="T8" s="739"/>
      <c r="U8" s="739"/>
      <c r="V8" s="739"/>
      <c r="W8" s="739"/>
      <c r="X8" s="739"/>
      <c r="Y8" s="739"/>
      <c r="Z8" s="739"/>
      <c r="AA8" s="739"/>
      <c r="AB8" s="739"/>
      <c r="AC8" s="739"/>
      <c r="AD8" s="740"/>
      <c r="AE8" s="741" t="s">
        <v>380</v>
      </c>
      <c r="AF8" s="742"/>
      <c r="AG8" s="743"/>
      <c r="AH8" s="743"/>
      <c r="AI8" s="743"/>
      <c r="AJ8" s="743"/>
      <c r="AK8" s="743"/>
      <c r="AL8" s="743"/>
      <c r="AM8" s="744"/>
    </row>
    <row r="9" spans="1:39" ht="23.25" customHeight="1">
      <c r="A9" s="745" t="s">
        <v>381</v>
      </c>
      <c r="B9" s="746"/>
      <c r="C9" s="746"/>
      <c r="D9" s="749" t="s">
        <v>382</v>
      </c>
      <c r="E9" s="749"/>
      <c r="F9" s="749"/>
      <c r="G9" s="749"/>
      <c r="H9" s="749"/>
      <c r="I9" s="749"/>
      <c r="J9" s="749"/>
      <c r="K9" s="749"/>
      <c r="L9" s="749"/>
      <c r="M9" s="749"/>
      <c r="N9" s="749"/>
      <c r="O9" s="749"/>
      <c r="P9" s="749"/>
      <c r="Q9" s="749"/>
      <c r="R9" s="749"/>
      <c r="S9" s="749"/>
      <c r="T9" s="749"/>
      <c r="U9" s="749"/>
      <c r="V9" s="749"/>
      <c r="W9" s="749"/>
      <c r="X9" s="749"/>
      <c r="Y9" s="749"/>
      <c r="Z9" s="749"/>
      <c r="AA9" s="749"/>
      <c r="AB9" s="749"/>
      <c r="AC9" s="749"/>
      <c r="AD9" s="750"/>
      <c r="AE9" s="751" t="s">
        <v>383</v>
      </c>
      <c r="AF9" s="752"/>
      <c r="AG9" s="718"/>
      <c r="AH9" s="718"/>
      <c r="AI9" s="718"/>
      <c r="AJ9" s="718"/>
      <c r="AK9" s="718"/>
      <c r="AL9" s="718"/>
      <c r="AM9" s="719"/>
    </row>
    <row r="10" spans="1:39" ht="23.25" customHeight="1">
      <c r="A10" s="747"/>
      <c r="B10" s="748"/>
      <c r="C10" s="748"/>
      <c r="D10" s="753"/>
      <c r="E10" s="753"/>
      <c r="F10" s="753"/>
      <c r="G10" s="753"/>
      <c r="H10" s="753"/>
      <c r="I10" s="753"/>
      <c r="J10" s="753"/>
      <c r="K10" s="753"/>
      <c r="L10" s="753"/>
      <c r="M10" s="753"/>
      <c r="N10" s="753"/>
      <c r="O10" s="753"/>
      <c r="P10" s="753"/>
      <c r="Q10" s="753"/>
      <c r="R10" s="753"/>
      <c r="S10" s="753"/>
      <c r="T10" s="753"/>
      <c r="U10" s="753"/>
      <c r="V10" s="753"/>
      <c r="W10" s="753"/>
      <c r="X10" s="753"/>
      <c r="Y10" s="753"/>
      <c r="Z10" s="753"/>
      <c r="AA10" s="753"/>
      <c r="AB10" s="753"/>
      <c r="AC10" s="753"/>
      <c r="AD10" s="754"/>
      <c r="AE10" s="770" t="s">
        <v>384</v>
      </c>
      <c r="AF10" s="771"/>
      <c r="AG10" s="718"/>
      <c r="AH10" s="718"/>
      <c r="AI10" s="718"/>
      <c r="AJ10" s="718"/>
      <c r="AK10" s="718"/>
      <c r="AL10" s="718"/>
      <c r="AM10" s="719"/>
    </row>
    <row r="11" spans="1:39" ht="16.5" customHeight="1">
      <c r="A11" s="720" t="s">
        <v>379</v>
      </c>
      <c r="B11" s="721"/>
      <c r="C11" s="721"/>
      <c r="D11" s="722"/>
      <c r="E11" s="722"/>
      <c r="F11" s="722"/>
      <c r="G11" s="722"/>
      <c r="H11" s="722"/>
      <c r="I11" s="722"/>
      <c r="J11" s="722"/>
      <c r="K11" s="722"/>
      <c r="L11" s="722"/>
      <c r="M11" s="722"/>
      <c r="N11" s="722"/>
      <c r="O11" s="722"/>
      <c r="P11" s="722"/>
      <c r="Q11" s="722"/>
      <c r="R11" s="722"/>
      <c r="S11" s="722"/>
      <c r="T11" s="722"/>
      <c r="U11" s="722"/>
      <c r="V11" s="722"/>
      <c r="W11" s="722"/>
      <c r="X11" s="722"/>
      <c r="Y11" s="722"/>
      <c r="Z11" s="722"/>
      <c r="AA11" s="722"/>
      <c r="AB11" s="722"/>
      <c r="AC11" s="722"/>
      <c r="AD11" s="722"/>
      <c r="AE11" s="722"/>
      <c r="AF11" s="723"/>
      <c r="AG11" s="724" t="s">
        <v>385</v>
      </c>
      <c r="AH11" s="725"/>
      <c r="AI11" s="725"/>
      <c r="AJ11" s="725"/>
      <c r="AK11" s="725"/>
      <c r="AL11" s="725"/>
      <c r="AM11" s="726"/>
    </row>
    <row r="12" spans="1:39" ht="35.25" customHeight="1" thickBot="1">
      <c r="A12" s="730" t="s">
        <v>386</v>
      </c>
      <c r="B12" s="731"/>
      <c r="C12" s="731"/>
      <c r="D12" s="732" t="s">
        <v>387</v>
      </c>
      <c r="E12" s="732"/>
      <c r="F12" s="732"/>
      <c r="G12" s="732"/>
      <c r="H12" s="732"/>
      <c r="I12" s="732"/>
      <c r="J12" s="732"/>
      <c r="K12" s="732"/>
      <c r="L12" s="732"/>
      <c r="M12" s="732"/>
      <c r="N12" s="732"/>
      <c r="O12" s="732"/>
      <c r="P12" s="732"/>
      <c r="Q12" s="732"/>
      <c r="R12" s="732"/>
      <c r="S12" s="732"/>
      <c r="T12" s="732"/>
      <c r="U12" s="732"/>
      <c r="V12" s="732"/>
      <c r="W12" s="732"/>
      <c r="X12" s="732"/>
      <c r="Y12" s="732"/>
      <c r="Z12" s="732"/>
      <c r="AA12" s="732"/>
      <c r="AB12" s="732"/>
      <c r="AC12" s="732"/>
      <c r="AD12" s="732"/>
      <c r="AE12" s="732"/>
      <c r="AF12" s="733"/>
      <c r="AG12" s="727"/>
      <c r="AH12" s="728"/>
      <c r="AI12" s="728"/>
      <c r="AJ12" s="728"/>
      <c r="AK12" s="728"/>
      <c r="AL12" s="728"/>
      <c r="AM12" s="729"/>
    </row>
    <row r="13" spans="1:39" ht="18.75" customHeight="1" thickBot="1">
      <c r="A13" s="704" t="s">
        <v>480</v>
      </c>
      <c r="B13" s="704"/>
      <c r="C13" s="704"/>
      <c r="D13" s="705"/>
      <c r="E13" s="705"/>
      <c r="F13" s="705"/>
      <c r="G13" s="705"/>
      <c r="H13" s="705"/>
      <c r="I13" s="705"/>
      <c r="J13" s="705"/>
      <c r="K13" s="705"/>
      <c r="L13" s="705"/>
      <c r="M13" s="705"/>
      <c r="N13" s="705"/>
      <c r="O13" s="705"/>
      <c r="P13" s="705"/>
      <c r="Q13" s="705"/>
      <c r="R13" s="705"/>
      <c r="S13" s="705"/>
      <c r="T13" s="705"/>
      <c r="U13" s="705"/>
      <c r="V13" s="705"/>
      <c r="W13" s="705"/>
      <c r="X13" s="705"/>
      <c r="Y13" s="705"/>
      <c r="Z13" s="705"/>
      <c r="AA13" s="705"/>
      <c r="AB13" s="705"/>
      <c r="AC13" s="705"/>
      <c r="AD13" s="705"/>
      <c r="AE13" s="705"/>
      <c r="AF13" s="705"/>
      <c r="AG13" s="704"/>
      <c r="AH13" s="704"/>
      <c r="AI13" s="704"/>
      <c r="AJ13" s="704"/>
      <c r="AK13" s="704"/>
      <c r="AL13" s="704"/>
      <c r="AM13" s="704"/>
    </row>
    <row r="14" spans="1:39" ht="27" customHeight="1" thickBot="1">
      <c r="A14" s="499"/>
      <c r="B14" s="500"/>
      <c r="C14" s="501"/>
      <c r="D14" s="501" t="s">
        <v>388</v>
      </c>
      <c r="E14" s="501"/>
      <c r="F14" s="501"/>
      <c r="G14" s="501"/>
      <c r="H14" s="501"/>
      <c r="I14" s="501"/>
      <c r="J14" s="501"/>
      <c r="K14" s="501"/>
      <c r="L14" s="501"/>
      <c r="M14" s="501" t="s">
        <v>389</v>
      </c>
      <c r="N14" s="501"/>
      <c r="O14" s="501"/>
      <c r="P14" s="501"/>
      <c r="Q14" s="502"/>
      <c r="R14" s="503"/>
      <c r="S14" s="503"/>
      <c r="T14" s="503"/>
      <c r="U14" s="503"/>
      <c r="V14" s="503"/>
      <c r="W14" s="503" t="s">
        <v>390</v>
      </c>
      <c r="X14" s="503"/>
      <c r="Y14" s="503"/>
      <c r="Z14" s="503"/>
      <c r="AA14" s="503"/>
      <c r="AB14" s="503" t="s">
        <v>391</v>
      </c>
      <c r="AC14" s="503"/>
      <c r="AD14" s="503"/>
      <c r="AE14" s="503"/>
      <c r="AF14" s="504"/>
      <c r="AG14" s="504"/>
      <c r="AH14" s="504"/>
      <c r="AI14" s="504"/>
      <c r="AJ14" s="504"/>
      <c r="AK14" s="504"/>
      <c r="AL14" s="504"/>
      <c r="AM14" s="505"/>
    </row>
    <row r="15" spans="1:39" ht="27" customHeight="1" thickTop="1">
      <c r="A15" s="684"/>
      <c r="B15" s="666"/>
      <c r="C15" s="666"/>
      <c r="D15" s="506" t="s">
        <v>392</v>
      </c>
      <c r="E15" s="507"/>
      <c r="F15" s="506" t="s">
        <v>393</v>
      </c>
      <c r="G15" s="507"/>
      <c r="H15" s="506" t="s">
        <v>394</v>
      </c>
      <c r="I15" s="506" t="s">
        <v>395</v>
      </c>
      <c r="J15" s="685"/>
      <c r="K15" s="685"/>
      <c r="L15" s="685"/>
      <c r="M15" s="506" t="s">
        <v>392</v>
      </c>
      <c r="N15" s="507"/>
      <c r="O15" s="506" t="s">
        <v>393</v>
      </c>
      <c r="P15" s="507"/>
      <c r="Q15" s="509" t="s">
        <v>394</v>
      </c>
      <c r="R15" s="706"/>
      <c r="S15" s="707"/>
      <c r="T15" s="707"/>
      <c r="U15" s="707"/>
      <c r="V15" s="707"/>
      <c r="W15" s="707"/>
      <c r="X15" s="707"/>
      <c r="Y15" s="707"/>
      <c r="Z15" s="707"/>
      <c r="AA15" s="707"/>
      <c r="AB15" s="707"/>
      <c r="AC15" s="707"/>
      <c r="AD15" s="707"/>
      <c r="AE15" s="707"/>
      <c r="AF15" s="707"/>
      <c r="AG15" s="707"/>
      <c r="AH15" s="707"/>
      <c r="AI15" s="708"/>
      <c r="AJ15" s="709" t="s">
        <v>396</v>
      </c>
      <c r="AK15" s="710"/>
      <c r="AL15" s="710"/>
      <c r="AM15" s="711"/>
    </row>
    <row r="16" spans="1:39" ht="27" customHeight="1">
      <c r="A16" s="689"/>
      <c r="B16" s="690"/>
      <c r="C16" s="690"/>
      <c r="D16" s="511" t="s">
        <v>392</v>
      </c>
      <c r="E16" s="587"/>
      <c r="F16" s="511" t="s">
        <v>393</v>
      </c>
      <c r="G16" s="587"/>
      <c r="H16" s="511" t="s">
        <v>394</v>
      </c>
      <c r="I16" s="511" t="s">
        <v>397</v>
      </c>
      <c r="J16" s="690"/>
      <c r="K16" s="690"/>
      <c r="L16" s="690"/>
      <c r="M16" s="511" t="s">
        <v>392</v>
      </c>
      <c r="N16" s="587"/>
      <c r="O16" s="511" t="s">
        <v>393</v>
      </c>
      <c r="P16" s="587"/>
      <c r="Q16" s="512" t="s">
        <v>394</v>
      </c>
      <c r="R16" s="712"/>
      <c r="S16" s="713"/>
      <c r="T16" s="713"/>
      <c r="U16" s="713"/>
      <c r="V16" s="713"/>
      <c r="W16" s="713"/>
      <c r="X16" s="713"/>
      <c r="Y16" s="713"/>
      <c r="Z16" s="713"/>
      <c r="AA16" s="713"/>
      <c r="AB16" s="713"/>
      <c r="AC16" s="713"/>
      <c r="AD16" s="713"/>
      <c r="AE16" s="713"/>
      <c r="AF16" s="713"/>
      <c r="AG16" s="713"/>
      <c r="AH16" s="713"/>
      <c r="AI16" s="714"/>
      <c r="AJ16" s="715" t="s">
        <v>396</v>
      </c>
      <c r="AK16" s="716"/>
      <c r="AL16" s="716"/>
      <c r="AM16" s="717"/>
    </row>
    <row r="17" spans="1:40" ht="27" customHeight="1" thickBot="1">
      <c r="A17" s="673"/>
      <c r="B17" s="674"/>
      <c r="C17" s="674"/>
      <c r="D17" s="514" t="s">
        <v>392</v>
      </c>
      <c r="E17" s="515"/>
      <c r="F17" s="514" t="s">
        <v>393</v>
      </c>
      <c r="G17" s="515"/>
      <c r="H17" s="514" t="s">
        <v>394</v>
      </c>
      <c r="I17" s="514" t="s">
        <v>398</v>
      </c>
      <c r="J17" s="674"/>
      <c r="K17" s="674"/>
      <c r="L17" s="674"/>
      <c r="M17" s="514" t="s">
        <v>392</v>
      </c>
      <c r="N17" s="515"/>
      <c r="O17" s="514" t="s">
        <v>393</v>
      </c>
      <c r="P17" s="515"/>
      <c r="Q17" s="516" t="s">
        <v>394</v>
      </c>
      <c r="R17" s="694"/>
      <c r="S17" s="695"/>
      <c r="T17" s="695"/>
      <c r="U17" s="695"/>
      <c r="V17" s="695"/>
      <c r="W17" s="695"/>
      <c r="X17" s="695"/>
      <c r="Y17" s="695"/>
      <c r="Z17" s="695"/>
      <c r="AA17" s="695"/>
      <c r="AB17" s="695"/>
      <c r="AC17" s="695"/>
      <c r="AD17" s="695"/>
      <c r="AE17" s="695"/>
      <c r="AF17" s="695"/>
      <c r="AG17" s="695"/>
      <c r="AH17" s="695"/>
      <c r="AI17" s="696"/>
      <c r="AJ17" s="697" t="s">
        <v>396</v>
      </c>
      <c r="AK17" s="698"/>
      <c r="AL17" s="698"/>
      <c r="AM17" s="699"/>
    </row>
    <row r="18" spans="1:40" ht="11.25" customHeight="1" thickBot="1">
      <c r="A18" s="700"/>
      <c r="B18" s="700"/>
      <c r="C18" s="700"/>
      <c r="D18" s="700"/>
      <c r="E18" s="700"/>
      <c r="F18" s="700"/>
      <c r="G18" s="700"/>
      <c r="H18" s="700"/>
      <c r="I18" s="700"/>
      <c r="J18" s="700"/>
      <c r="K18" s="700"/>
      <c r="L18" s="700"/>
      <c r="M18" s="700"/>
      <c r="N18" s="700"/>
      <c r="O18" s="700"/>
      <c r="P18" s="700"/>
      <c r="Q18" s="700"/>
      <c r="R18" s="700"/>
      <c r="S18" s="700"/>
      <c r="T18" s="700"/>
      <c r="U18" s="700"/>
      <c r="V18" s="700"/>
      <c r="W18" s="700"/>
      <c r="X18" s="700"/>
      <c r="Y18" s="700"/>
      <c r="Z18" s="700"/>
      <c r="AA18" s="700"/>
      <c r="AB18" s="700"/>
      <c r="AC18" s="700"/>
      <c r="AD18" s="700"/>
      <c r="AE18" s="700"/>
      <c r="AF18" s="700"/>
      <c r="AG18" s="700"/>
      <c r="AH18" s="700"/>
      <c r="AI18" s="700"/>
      <c r="AJ18" s="700"/>
      <c r="AK18" s="700"/>
      <c r="AL18" s="700"/>
      <c r="AM18" s="700"/>
      <c r="AN18" s="700"/>
    </row>
    <row r="19" spans="1:40" ht="27" customHeight="1" thickBot="1">
      <c r="A19" s="499"/>
      <c r="B19" s="500"/>
      <c r="C19" s="500"/>
      <c r="D19" s="501" t="s">
        <v>388</v>
      </c>
      <c r="E19" s="501"/>
      <c r="F19" s="501"/>
      <c r="G19" s="501"/>
      <c r="H19" s="501"/>
      <c r="I19" s="501"/>
      <c r="J19" s="501"/>
      <c r="K19" s="501"/>
      <c r="L19" s="501"/>
      <c r="M19" s="501" t="s">
        <v>389</v>
      </c>
      <c r="N19" s="501"/>
      <c r="O19" s="501"/>
      <c r="P19" s="501"/>
      <c r="Q19" s="502"/>
      <c r="R19" s="701" t="s">
        <v>399</v>
      </c>
      <c r="S19" s="702"/>
      <c r="T19" s="702"/>
      <c r="U19" s="702"/>
      <c r="V19" s="702"/>
      <c r="W19" s="702"/>
      <c r="X19" s="702"/>
      <c r="Y19" s="702"/>
      <c r="Z19" s="702"/>
      <c r="AA19" s="702"/>
      <c r="AB19" s="702"/>
      <c r="AC19" s="702"/>
      <c r="AD19" s="702"/>
      <c r="AE19" s="702"/>
      <c r="AF19" s="702"/>
      <c r="AG19" s="702"/>
      <c r="AH19" s="702"/>
      <c r="AI19" s="702"/>
      <c r="AJ19" s="702"/>
      <c r="AK19" s="702"/>
      <c r="AL19" s="702"/>
      <c r="AM19" s="703"/>
    </row>
    <row r="20" spans="1:40" ht="27" customHeight="1" thickTop="1">
      <c r="A20" s="684"/>
      <c r="B20" s="666"/>
      <c r="C20" s="666"/>
      <c r="D20" s="517" t="s">
        <v>392</v>
      </c>
      <c r="E20" s="586"/>
      <c r="F20" s="517" t="s">
        <v>393</v>
      </c>
      <c r="G20" s="586"/>
      <c r="H20" s="517" t="s">
        <v>394</v>
      </c>
      <c r="I20" s="517" t="s">
        <v>398</v>
      </c>
      <c r="J20" s="685"/>
      <c r="K20" s="685"/>
      <c r="L20" s="685"/>
      <c r="M20" s="517" t="s">
        <v>392</v>
      </c>
      <c r="N20" s="586"/>
      <c r="O20" s="517" t="s">
        <v>393</v>
      </c>
      <c r="P20" s="586"/>
      <c r="Q20" s="518" t="s">
        <v>394</v>
      </c>
      <c r="R20" s="686"/>
      <c r="S20" s="687"/>
      <c r="T20" s="687"/>
      <c r="U20" s="687"/>
      <c r="V20" s="687"/>
      <c r="W20" s="687"/>
      <c r="X20" s="687"/>
      <c r="Y20" s="687"/>
      <c r="Z20" s="687"/>
      <c r="AA20" s="687"/>
      <c r="AB20" s="687"/>
      <c r="AC20" s="687"/>
      <c r="AD20" s="687"/>
      <c r="AE20" s="687"/>
      <c r="AF20" s="687"/>
      <c r="AG20" s="687"/>
      <c r="AH20" s="687"/>
      <c r="AI20" s="687"/>
      <c r="AJ20" s="687"/>
      <c r="AK20" s="687"/>
      <c r="AL20" s="687"/>
      <c r="AM20" s="688"/>
    </row>
    <row r="21" spans="1:40" ht="27" customHeight="1">
      <c r="A21" s="689"/>
      <c r="B21" s="690"/>
      <c r="C21" s="690"/>
      <c r="D21" s="511" t="s">
        <v>392</v>
      </c>
      <c r="E21" s="587"/>
      <c r="F21" s="511" t="s">
        <v>393</v>
      </c>
      <c r="G21" s="587"/>
      <c r="H21" s="511" t="s">
        <v>394</v>
      </c>
      <c r="I21" s="511" t="s">
        <v>400</v>
      </c>
      <c r="J21" s="690"/>
      <c r="K21" s="690"/>
      <c r="L21" s="690"/>
      <c r="M21" s="511" t="s">
        <v>392</v>
      </c>
      <c r="N21" s="587"/>
      <c r="O21" s="511" t="s">
        <v>393</v>
      </c>
      <c r="P21" s="587"/>
      <c r="Q21" s="512" t="s">
        <v>394</v>
      </c>
      <c r="R21" s="691"/>
      <c r="S21" s="692"/>
      <c r="T21" s="692"/>
      <c r="U21" s="692"/>
      <c r="V21" s="692"/>
      <c r="W21" s="692"/>
      <c r="X21" s="692"/>
      <c r="Y21" s="692"/>
      <c r="Z21" s="692"/>
      <c r="AA21" s="692"/>
      <c r="AB21" s="692"/>
      <c r="AC21" s="692"/>
      <c r="AD21" s="692"/>
      <c r="AE21" s="692"/>
      <c r="AF21" s="692"/>
      <c r="AG21" s="692"/>
      <c r="AH21" s="692"/>
      <c r="AI21" s="692"/>
      <c r="AJ21" s="692"/>
      <c r="AK21" s="692"/>
      <c r="AL21" s="692"/>
      <c r="AM21" s="693"/>
    </row>
    <row r="22" spans="1:40" ht="27" customHeight="1" thickBot="1">
      <c r="A22" s="673"/>
      <c r="B22" s="674"/>
      <c r="C22" s="674"/>
      <c r="D22" s="519" t="s">
        <v>392</v>
      </c>
      <c r="E22" s="588"/>
      <c r="F22" s="519" t="s">
        <v>393</v>
      </c>
      <c r="G22" s="588"/>
      <c r="H22" s="519" t="s">
        <v>394</v>
      </c>
      <c r="I22" s="519" t="s">
        <v>400</v>
      </c>
      <c r="J22" s="674"/>
      <c r="K22" s="674"/>
      <c r="L22" s="674"/>
      <c r="M22" s="519" t="s">
        <v>392</v>
      </c>
      <c r="N22" s="588"/>
      <c r="O22" s="519" t="s">
        <v>393</v>
      </c>
      <c r="P22" s="588"/>
      <c r="Q22" s="520" t="s">
        <v>394</v>
      </c>
      <c r="R22" s="675"/>
      <c r="S22" s="676"/>
      <c r="T22" s="676"/>
      <c r="U22" s="676"/>
      <c r="V22" s="676"/>
      <c r="W22" s="676"/>
      <c r="X22" s="676"/>
      <c r="Y22" s="676"/>
      <c r="Z22" s="676"/>
      <c r="AA22" s="676"/>
      <c r="AB22" s="676"/>
      <c r="AC22" s="676"/>
      <c r="AD22" s="676"/>
      <c r="AE22" s="676"/>
      <c r="AF22" s="676"/>
      <c r="AG22" s="676"/>
      <c r="AH22" s="676"/>
      <c r="AI22" s="676"/>
      <c r="AJ22" s="676"/>
      <c r="AK22" s="676"/>
      <c r="AL22" s="676"/>
      <c r="AM22" s="677"/>
    </row>
    <row r="23" spans="1:40" ht="10.5" customHeight="1" thickBot="1">
      <c r="A23" s="626"/>
      <c r="B23" s="626"/>
      <c r="C23" s="626"/>
      <c r="D23" s="626"/>
      <c r="E23" s="626"/>
      <c r="F23" s="626"/>
      <c r="G23" s="626"/>
      <c r="H23" s="626"/>
      <c r="I23" s="626"/>
      <c r="J23" s="626"/>
      <c r="K23" s="626"/>
      <c r="L23" s="626"/>
      <c r="M23" s="626"/>
      <c r="N23" s="626"/>
      <c r="O23" s="626"/>
      <c r="P23" s="626"/>
      <c r="Q23" s="626"/>
      <c r="R23" s="626"/>
      <c r="S23" s="626"/>
      <c r="T23" s="626"/>
      <c r="U23" s="626"/>
      <c r="V23" s="626"/>
      <c r="W23" s="626"/>
      <c r="X23" s="626"/>
      <c r="Y23" s="626"/>
      <c r="Z23" s="626"/>
      <c r="AA23" s="626"/>
      <c r="AB23" s="626"/>
      <c r="AC23" s="626"/>
      <c r="AD23" s="626"/>
      <c r="AE23" s="626"/>
      <c r="AF23" s="626"/>
      <c r="AG23" s="626"/>
      <c r="AH23" s="626"/>
      <c r="AI23" s="626"/>
      <c r="AJ23" s="626"/>
      <c r="AK23" s="626"/>
      <c r="AL23" s="626"/>
      <c r="AM23" s="626"/>
      <c r="AN23" s="626"/>
    </row>
    <row r="24" spans="1:40" ht="56.25" customHeight="1">
      <c r="A24" s="681" t="s">
        <v>401</v>
      </c>
      <c r="B24" s="682"/>
      <c r="C24" s="682"/>
      <c r="D24" s="682"/>
      <c r="E24" s="682"/>
      <c r="F24" s="682"/>
      <c r="G24" s="682"/>
      <c r="H24" s="682"/>
      <c r="I24" s="682"/>
      <c r="J24" s="682"/>
      <c r="K24" s="682"/>
      <c r="L24" s="682"/>
      <c r="M24" s="682"/>
      <c r="N24" s="683"/>
      <c r="O24" s="521"/>
      <c r="P24" s="678" t="s">
        <v>481</v>
      </c>
      <c r="Q24" s="679"/>
      <c r="R24" s="679"/>
      <c r="S24" s="679"/>
      <c r="T24" s="679"/>
      <c r="U24" s="679"/>
      <c r="V24" s="679"/>
      <c r="W24" s="679"/>
      <c r="X24" s="679"/>
      <c r="Y24" s="679"/>
      <c r="Z24" s="679"/>
      <c r="AA24" s="679"/>
      <c r="AB24" s="679"/>
      <c r="AC24" s="679"/>
      <c r="AD24" s="679"/>
      <c r="AE24" s="679"/>
      <c r="AF24" s="679"/>
      <c r="AG24" s="679"/>
      <c r="AH24" s="679"/>
      <c r="AI24" s="679"/>
      <c r="AJ24" s="679"/>
      <c r="AK24" s="679"/>
      <c r="AL24" s="679"/>
      <c r="AM24" s="680"/>
    </row>
    <row r="25" spans="1:40" ht="24.95" customHeight="1" thickBot="1">
      <c r="A25" s="644" t="s">
        <v>402</v>
      </c>
      <c r="B25" s="645"/>
      <c r="C25" s="645"/>
      <c r="D25" s="645"/>
      <c r="E25" s="645"/>
      <c r="F25" s="645"/>
      <c r="G25" s="646"/>
      <c r="H25" s="647" t="s">
        <v>403</v>
      </c>
      <c r="I25" s="648"/>
      <c r="J25" s="648"/>
      <c r="K25" s="648"/>
      <c r="L25" s="648"/>
      <c r="M25" s="648"/>
      <c r="N25" s="649"/>
      <c r="P25" s="650" t="s">
        <v>404</v>
      </c>
      <c r="Q25" s="651"/>
      <c r="R25" s="651"/>
      <c r="S25" s="651"/>
      <c r="T25" s="651"/>
      <c r="U25" s="651"/>
      <c r="V25" s="651"/>
      <c r="W25" s="651"/>
      <c r="X25" s="651"/>
      <c r="Y25" s="652"/>
      <c r="Z25" s="653" t="s">
        <v>405</v>
      </c>
      <c r="AA25" s="651"/>
      <c r="AB25" s="651"/>
      <c r="AC25" s="651"/>
      <c r="AD25" s="651"/>
      <c r="AE25" s="651"/>
      <c r="AF25" s="651"/>
      <c r="AG25" s="651"/>
      <c r="AH25" s="652"/>
      <c r="AI25" s="654" t="s">
        <v>413</v>
      </c>
      <c r="AJ25" s="655"/>
      <c r="AK25" s="655"/>
      <c r="AL25" s="655"/>
      <c r="AM25" s="656"/>
    </row>
    <row r="26" spans="1:40" ht="18" customHeight="1" thickTop="1">
      <c r="A26" s="657" t="s">
        <v>406</v>
      </c>
      <c r="B26" s="658"/>
      <c r="C26" s="658"/>
      <c r="D26" s="658"/>
      <c r="E26" s="658"/>
      <c r="F26" s="658"/>
      <c r="G26" s="659"/>
      <c r="H26" s="660"/>
      <c r="I26" s="661"/>
      <c r="J26" s="661"/>
      <c r="K26" s="661"/>
      <c r="L26" s="661"/>
      <c r="M26" s="661"/>
      <c r="N26" s="662"/>
      <c r="P26" s="663"/>
      <c r="Q26" s="664"/>
      <c r="R26" s="664"/>
      <c r="S26" s="664"/>
      <c r="T26" s="523" t="s">
        <v>8</v>
      </c>
      <c r="U26" s="524"/>
      <c r="V26" s="523" t="s">
        <v>284</v>
      </c>
      <c r="W26" s="524"/>
      <c r="X26" s="525" t="s">
        <v>269</v>
      </c>
      <c r="Y26" s="526"/>
      <c r="Z26" s="665"/>
      <c r="AA26" s="666"/>
      <c r="AB26" s="666"/>
      <c r="AC26" s="666"/>
      <c r="AD26" s="666"/>
      <c r="AE26" s="666"/>
      <c r="AF26" s="666"/>
      <c r="AG26" s="666"/>
      <c r="AH26" s="667"/>
      <c r="AI26" s="670"/>
      <c r="AJ26" s="671"/>
      <c r="AK26" s="671"/>
      <c r="AL26" s="671"/>
      <c r="AM26" s="672"/>
    </row>
    <row r="27" spans="1:40" ht="18" customHeight="1">
      <c r="A27" s="639"/>
      <c r="B27" s="640"/>
      <c r="C27" s="640"/>
      <c r="D27" s="640"/>
      <c r="E27" s="640"/>
      <c r="F27" s="640"/>
      <c r="G27" s="641"/>
      <c r="H27" s="630"/>
      <c r="I27" s="631"/>
      <c r="J27" s="631"/>
      <c r="K27" s="631"/>
      <c r="L27" s="631"/>
      <c r="M27" s="631"/>
      <c r="N27" s="632"/>
      <c r="P27" s="522" t="s">
        <v>407</v>
      </c>
      <c r="Q27" s="643"/>
      <c r="R27" s="643"/>
      <c r="S27" s="643"/>
      <c r="T27" s="527" t="s">
        <v>8</v>
      </c>
      <c r="U27" s="528"/>
      <c r="V27" s="527" t="s">
        <v>284</v>
      </c>
      <c r="W27" s="528"/>
      <c r="X27" s="529" t="s">
        <v>269</v>
      </c>
      <c r="Y27" s="530"/>
      <c r="Z27" s="668"/>
      <c r="AA27" s="638"/>
      <c r="AB27" s="638"/>
      <c r="AC27" s="638"/>
      <c r="AD27" s="638"/>
      <c r="AE27" s="638"/>
      <c r="AF27" s="638"/>
      <c r="AG27" s="638"/>
      <c r="AH27" s="669"/>
      <c r="AI27" s="635"/>
      <c r="AJ27" s="636"/>
      <c r="AK27" s="636"/>
      <c r="AL27" s="636"/>
      <c r="AM27" s="637"/>
    </row>
    <row r="28" spans="1:40" ht="18" customHeight="1">
      <c r="A28" s="600" t="s">
        <v>406</v>
      </c>
      <c r="B28" s="601"/>
      <c r="C28" s="601"/>
      <c r="D28" s="601"/>
      <c r="E28" s="601"/>
      <c r="F28" s="601"/>
      <c r="G28" s="602"/>
      <c r="H28" s="606"/>
      <c r="I28" s="607"/>
      <c r="J28" s="607"/>
      <c r="K28" s="607"/>
      <c r="L28" s="607"/>
      <c r="M28" s="607"/>
      <c r="N28" s="608"/>
      <c r="P28" s="612"/>
      <c r="Q28" s="613"/>
      <c r="R28" s="613"/>
      <c r="S28" s="613"/>
      <c r="T28" s="531" t="s">
        <v>8</v>
      </c>
      <c r="U28" s="532"/>
      <c r="V28" s="531" t="s">
        <v>284</v>
      </c>
      <c r="W28" s="533"/>
      <c r="X28" s="534" t="s">
        <v>269</v>
      </c>
      <c r="Y28" s="535"/>
      <c r="Z28" s="614"/>
      <c r="AA28" s="615"/>
      <c r="AB28" s="615"/>
      <c r="AC28" s="615"/>
      <c r="AD28" s="615"/>
      <c r="AE28" s="615"/>
      <c r="AF28" s="615"/>
      <c r="AG28" s="615"/>
      <c r="AH28" s="616"/>
      <c r="AI28" s="620"/>
      <c r="AJ28" s="621"/>
      <c r="AK28" s="621"/>
      <c r="AL28" s="621"/>
      <c r="AM28" s="622"/>
    </row>
    <row r="29" spans="1:40" ht="18" customHeight="1">
      <c r="A29" s="627"/>
      <c r="B29" s="628"/>
      <c r="C29" s="628"/>
      <c r="D29" s="628"/>
      <c r="E29" s="628"/>
      <c r="F29" s="628"/>
      <c r="G29" s="629"/>
      <c r="H29" s="630"/>
      <c r="I29" s="631"/>
      <c r="J29" s="631"/>
      <c r="K29" s="631"/>
      <c r="L29" s="631"/>
      <c r="M29" s="631"/>
      <c r="N29" s="632"/>
      <c r="P29" s="536" t="s">
        <v>408</v>
      </c>
      <c r="Q29" s="638"/>
      <c r="R29" s="638"/>
      <c r="S29" s="638"/>
      <c r="T29" s="537" t="s">
        <v>8</v>
      </c>
      <c r="U29" s="589"/>
      <c r="V29" s="537" t="s">
        <v>284</v>
      </c>
      <c r="W29" s="539"/>
      <c r="X29" s="540" t="s">
        <v>269</v>
      </c>
      <c r="Y29" s="541"/>
      <c r="Z29" s="633"/>
      <c r="AA29" s="634"/>
      <c r="AB29" s="634"/>
      <c r="AC29" s="634"/>
      <c r="AD29" s="634"/>
      <c r="AE29" s="634"/>
      <c r="AF29" s="634"/>
      <c r="AG29" s="634"/>
      <c r="AH29" s="642"/>
      <c r="AI29" s="635"/>
      <c r="AJ29" s="636"/>
      <c r="AK29" s="636"/>
      <c r="AL29" s="636"/>
      <c r="AM29" s="637"/>
    </row>
    <row r="30" spans="1:40" ht="18" customHeight="1">
      <c r="A30" s="600" t="s">
        <v>406</v>
      </c>
      <c r="B30" s="601"/>
      <c r="C30" s="601"/>
      <c r="D30" s="601"/>
      <c r="E30" s="601"/>
      <c r="F30" s="601"/>
      <c r="G30" s="602"/>
      <c r="H30" s="606"/>
      <c r="I30" s="607"/>
      <c r="J30" s="607"/>
      <c r="K30" s="607"/>
      <c r="L30" s="607"/>
      <c r="M30" s="607"/>
      <c r="N30" s="608"/>
      <c r="P30" s="612"/>
      <c r="Q30" s="613"/>
      <c r="R30" s="613"/>
      <c r="S30" s="613"/>
      <c r="T30" s="531" t="s">
        <v>8</v>
      </c>
      <c r="U30" s="532"/>
      <c r="V30" s="527" t="s">
        <v>284</v>
      </c>
      <c r="W30" s="542"/>
      <c r="X30" s="543" t="s">
        <v>269</v>
      </c>
      <c r="Y30" s="544"/>
      <c r="Z30" s="614"/>
      <c r="AA30" s="615"/>
      <c r="AB30" s="615"/>
      <c r="AC30" s="615"/>
      <c r="AD30" s="615"/>
      <c r="AE30" s="615"/>
      <c r="AF30" s="615"/>
      <c r="AG30" s="615"/>
      <c r="AH30" s="616"/>
      <c r="AI30" s="620"/>
      <c r="AJ30" s="621"/>
      <c r="AK30" s="621"/>
      <c r="AL30" s="621"/>
      <c r="AM30" s="622"/>
    </row>
    <row r="31" spans="1:40" ht="18" customHeight="1">
      <c r="A31" s="639"/>
      <c r="B31" s="640"/>
      <c r="C31" s="640"/>
      <c r="D31" s="640"/>
      <c r="E31" s="640"/>
      <c r="F31" s="640"/>
      <c r="G31" s="641"/>
      <c r="H31" s="630"/>
      <c r="I31" s="631"/>
      <c r="J31" s="631"/>
      <c r="K31" s="631"/>
      <c r="L31" s="631"/>
      <c r="M31" s="631"/>
      <c r="N31" s="632"/>
      <c r="P31" s="536" t="s">
        <v>407</v>
      </c>
      <c r="Q31" s="638"/>
      <c r="R31" s="638"/>
      <c r="S31" s="638"/>
      <c r="T31" s="537" t="s">
        <v>8</v>
      </c>
      <c r="U31" s="589"/>
      <c r="V31" s="527" t="s">
        <v>284</v>
      </c>
      <c r="W31" s="542"/>
      <c r="X31" s="543" t="s">
        <v>269</v>
      </c>
      <c r="Y31" s="544"/>
      <c r="Z31" s="633"/>
      <c r="AA31" s="634"/>
      <c r="AB31" s="634"/>
      <c r="AC31" s="634"/>
      <c r="AD31" s="634"/>
      <c r="AE31" s="634"/>
      <c r="AF31" s="634"/>
      <c r="AG31" s="634"/>
      <c r="AH31" s="642"/>
      <c r="AI31" s="635"/>
      <c r="AJ31" s="636"/>
      <c r="AK31" s="636"/>
      <c r="AL31" s="636"/>
      <c r="AM31" s="637"/>
    </row>
    <row r="32" spans="1:40" ht="18" customHeight="1">
      <c r="A32" s="600" t="s">
        <v>406</v>
      </c>
      <c r="B32" s="601"/>
      <c r="C32" s="601"/>
      <c r="D32" s="601"/>
      <c r="E32" s="601"/>
      <c r="F32" s="601"/>
      <c r="G32" s="602"/>
      <c r="H32" s="606"/>
      <c r="I32" s="607"/>
      <c r="J32" s="607"/>
      <c r="K32" s="607"/>
      <c r="L32" s="607"/>
      <c r="M32" s="607"/>
      <c r="N32" s="608"/>
      <c r="P32" s="612"/>
      <c r="Q32" s="613"/>
      <c r="R32" s="613"/>
      <c r="S32" s="613"/>
      <c r="T32" s="531" t="s">
        <v>8</v>
      </c>
      <c r="U32" s="532"/>
      <c r="V32" s="531" t="s">
        <v>284</v>
      </c>
      <c r="W32" s="533"/>
      <c r="X32" s="534" t="s">
        <v>269</v>
      </c>
      <c r="Y32" s="535"/>
      <c r="Z32" s="614"/>
      <c r="AA32" s="615"/>
      <c r="AB32" s="615"/>
      <c r="AC32" s="615"/>
      <c r="AD32" s="615"/>
      <c r="AE32" s="615"/>
      <c r="AF32" s="615"/>
      <c r="AG32" s="615"/>
      <c r="AH32" s="615"/>
      <c r="AI32" s="620"/>
      <c r="AJ32" s="621"/>
      <c r="AK32" s="621"/>
      <c r="AL32" s="621"/>
      <c r="AM32" s="622"/>
    </row>
    <row r="33" spans="1:40" ht="18" customHeight="1">
      <c r="A33" s="627"/>
      <c r="B33" s="628"/>
      <c r="C33" s="628"/>
      <c r="D33" s="628"/>
      <c r="E33" s="628"/>
      <c r="F33" s="628"/>
      <c r="G33" s="629"/>
      <c r="H33" s="630"/>
      <c r="I33" s="631"/>
      <c r="J33" s="631"/>
      <c r="K33" s="631"/>
      <c r="L33" s="631"/>
      <c r="M33" s="631"/>
      <c r="N33" s="632"/>
      <c r="P33" s="536" t="s">
        <v>407</v>
      </c>
      <c r="Q33" s="638"/>
      <c r="R33" s="638"/>
      <c r="S33" s="638"/>
      <c r="T33" s="537" t="s">
        <v>8</v>
      </c>
      <c r="U33" s="589"/>
      <c r="V33" s="537" t="s">
        <v>284</v>
      </c>
      <c r="W33" s="539"/>
      <c r="X33" s="540" t="s">
        <v>269</v>
      </c>
      <c r="Y33" s="541"/>
      <c r="Z33" s="633"/>
      <c r="AA33" s="634"/>
      <c r="AB33" s="634"/>
      <c r="AC33" s="634"/>
      <c r="AD33" s="634"/>
      <c r="AE33" s="634"/>
      <c r="AF33" s="634"/>
      <c r="AG33" s="634"/>
      <c r="AH33" s="634"/>
      <c r="AI33" s="635"/>
      <c r="AJ33" s="636"/>
      <c r="AK33" s="636"/>
      <c r="AL33" s="636"/>
      <c r="AM33" s="637"/>
    </row>
    <row r="34" spans="1:40" ht="18" customHeight="1">
      <c r="A34" s="600" t="s">
        <v>406</v>
      </c>
      <c r="B34" s="601"/>
      <c r="C34" s="601"/>
      <c r="D34" s="601"/>
      <c r="E34" s="601"/>
      <c r="F34" s="601"/>
      <c r="G34" s="602"/>
      <c r="H34" s="606"/>
      <c r="I34" s="607"/>
      <c r="J34" s="607"/>
      <c r="K34" s="607"/>
      <c r="L34" s="607"/>
      <c r="M34" s="607"/>
      <c r="N34" s="608"/>
      <c r="P34" s="612"/>
      <c r="Q34" s="613"/>
      <c r="R34" s="613"/>
      <c r="S34" s="613"/>
      <c r="T34" s="531" t="s">
        <v>8</v>
      </c>
      <c r="U34" s="532"/>
      <c r="V34" s="531" t="s">
        <v>284</v>
      </c>
      <c r="W34" s="533"/>
      <c r="X34" s="534" t="s">
        <v>269</v>
      </c>
      <c r="Y34" s="535"/>
      <c r="Z34" s="614"/>
      <c r="AA34" s="615"/>
      <c r="AB34" s="615"/>
      <c r="AC34" s="615"/>
      <c r="AD34" s="615"/>
      <c r="AE34" s="615"/>
      <c r="AF34" s="615"/>
      <c r="AG34" s="615"/>
      <c r="AH34" s="616"/>
      <c r="AI34" s="620"/>
      <c r="AJ34" s="621"/>
      <c r="AK34" s="621"/>
      <c r="AL34" s="621"/>
      <c r="AM34" s="622"/>
    </row>
    <row r="35" spans="1:40" ht="18" customHeight="1" thickBot="1">
      <c r="A35" s="603"/>
      <c r="B35" s="604"/>
      <c r="C35" s="604"/>
      <c r="D35" s="604"/>
      <c r="E35" s="604"/>
      <c r="F35" s="604"/>
      <c r="G35" s="605"/>
      <c r="H35" s="609"/>
      <c r="I35" s="610"/>
      <c r="J35" s="610"/>
      <c r="K35" s="610"/>
      <c r="L35" s="610"/>
      <c r="M35" s="610"/>
      <c r="N35" s="611"/>
      <c r="P35" s="545" t="s">
        <v>408</v>
      </c>
      <c r="Q35" s="546"/>
      <c r="R35" s="546"/>
      <c r="S35" s="546"/>
      <c r="T35" s="547" t="s">
        <v>8</v>
      </c>
      <c r="U35" s="546"/>
      <c r="V35" s="547" t="s">
        <v>284</v>
      </c>
      <c r="W35" s="548"/>
      <c r="X35" s="549" t="s">
        <v>269</v>
      </c>
      <c r="Y35" s="550"/>
      <c r="Z35" s="617"/>
      <c r="AA35" s="618"/>
      <c r="AB35" s="618"/>
      <c r="AC35" s="618"/>
      <c r="AD35" s="618"/>
      <c r="AE35" s="618"/>
      <c r="AF35" s="618"/>
      <c r="AG35" s="618"/>
      <c r="AH35" s="619"/>
      <c r="AI35" s="623"/>
      <c r="AJ35" s="624"/>
      <c r="AK35" s="624"/>
      <c r="AL35" s="624"/>
      <c r="AM35" s="625"/>
    </row>
    <row r="36" spans="1:40" ht="13.5" customHeight="1" thickBot="1">
      <c r="A36" s="626"/>
      <c r="B36" s="626"/>
      <c r="C36" s="626"/>
      <c r="D36" s="626"/>
      <c r="E36" s="626"/>
      <c r="F36" s="626"/>
      <c r="G36" s="626"/>
      <c r="H36" s="626"/>
      <c r="I36" s="626"/>
      <c r="J36" s="626"/>
      <c r="K36" s="626"/>
      <c r="L36" s="626"/>
      <c r="M36" s="626"/>
      <c r="N36" s="626"/>
      <c r="O36" s="626"/>
      <c r="P36" s="626"/>
      <c r="Q36" s="626"/>
      <c r="R36" s="626"/>
      <c r="S36" s="626"/>
      <c r="T36" s="626"/>
      <c r="U36" s="626"/>
      <c r="V36" s="626"/>
      <c r="W36" s="626"/>
      <c r="X36" s="626"/>
      <c r="Y36" s="626"/>
      <c r="Z36" s="626"/>
      <c r="AA36" s="626"/>
      <c r="AB36" s="626"/>
      <c r="AC36" s="626"/>
      <c r="AD36" s="626"/>
      <c r="AE36" s="626"/>
      <c r="AF36" s="626"/>
      <c r="AG36" s="626"/>
      <c r="AH36" s="626"/>
      <c r="AI36" s="626"/>
      <c r="AJ36" s="626"/>
      <c r="AK36" s="626"/>
      <c r="AL36" s="626"/>
      <c r="AM36" s="626"/>
      <c r="AN36" s="626"/>
    </row>
    <row r="37" spans="1:40" ht="27" customHeight="1">
      <c r="A37" s="591" t="s">
        <v>409</v>
      </c>
      <c r="B37" s="592"/>
      <c r="C37" s="592"/>
      <c r="D37" s="592"/>
      <c r="E37" s="592"/>
      <c r="F37" s="592"/>
      <c r="G37" s="592"/>
      <c r="H37" s="592"/>
      <c r="I37" s="592"/>
      <c r="J37" s="592"/>
      <c r="K37" s="592"/>
      <c r="L37" s="592"/>
      <c r="M37" s="592"/>
      <c r="N37" s="592"/>
      <c r="O37" s="592"/>
      <c r="P37" s="592"/>
      <c r="Q37" s="592"/>
      <c r="R37" s="592"/>
      <c r="S37" s="592"/>
      <c r="T37" s="592"/>
      <c r="U37" s="592"/>
      <c r="V37" s="592"/>
      <c r="W37" s="592"/>
      <c r="X37" s="592"/>
      <c r="Y37" s="592"/>
      <c r="Z37" s="592"/>
      <c r="AA37" s="592"/>
      <c r="AB37" s="592"/>
      <c r="AC37" s="592"/>
      <c r="AD37" s="592"/>
      <c r="AE37" s="592"/>
      <c r="AF37" s="592"/>
      <c r="AG37" s="592"/>
      <c r="AH37" s="592"/>
      <c r="AI37" s="592"/>
      <c r="AJ37" s="592"/>
      <c r="AK37" s="592"/>
      <c r="AL37" s="592"/>
      <c r="AM37" s="593"/>
    </row>
    <row r="38" spans="1:40" ht="27" customHeight="1">
      <c r="A38" s="594"/>
      <c r="B38" s="595"/>
      <c r="C38" s="595"/>
      <c r="D38" s="595"/>
      <c r="E38" s="595"/>
      <c r="F38" s="595"/>
      <c r="G38" s="595"/>
      <c r="H38" s="595"/>
      <c r="I38" s="595"/>
      <c r="J38" s="595"/>
      <c r="K38" s="595"/>
      <c r="L38" s="595"/>
      <c r="M38" s="595"/>
      <c r="N38" s="595"/>
      <c r="O38" s="595"/>
      <c r="P38" s="595"/>
      <c r="Q38" s="595"/>
      <c r="R38" s="595"/>
      <c r="S38" s="595"/>
      <c r="T38" s="595"/>
      <c r="U38" s="595"/>
      <c r="V38" s="595"/>
      <c r="W38" s="595"/>
      <c r="X38" s="595"/>
      <c r="Y38" s="595"/>
      <c r="Z38" s="595"/>
      <c r="AA38" s="595"/>
      <c r="AB38" s="595"/>
      <c r="AC38" s="595"/>
      <c r="AD38" s="595"/>
      <c r="AE38" s="595"/>
      <c r="AF38" s="595"/>
      <c r="AG38" s="595"/>
      <c r="AH38" s="595"/>
      <c r="AI38" s="595"/>
      <c r="AJ38" s="595"/>
      <c r="AK38" s="595"/>
      <c r="AL38" s="595"/>
      <c r="AM38" s="596"/>
    </row>
    <row r="39" spans="1:40" ht="27" customHeight="1">
      <c r="A39" s="594"/>
      <c r="B39" s="595"/>
      <c r="C39" s="595"/>
      <c r="D39" s="595"/>
      <c r="E39" s="595"/>
      <c r="F39" s="595"/>
      <c r="G39" s="595"/>
      <c r="H39" s="595"/>
      <c r="I39" s="595"/>
      <c r="J39" s="595"/>
      <c r="K39" s="595"/>
      <c r="L39" s="595"/>
      <c r="M39" s="595"/>
      <c r="N39" s="595"/>
      <c r="O39" s="595"/>
      <c r="P39" s="595"/>
      <c r="Q39" s="595"/>
      <c r="R39" s="595"/>
      <c r="S39" s="595"/>
      <c r="T39" s="595"/>
      <c r="U39" s="595"/>
      <c r="V39" s="595"/>
      <c r="W39" s="595"/>
      <c r="X39" s="595"/>
      <c r="Y39" s="595"/>
      <c r="Z39" s="595"/>
      <c r="AA39" s="595"/>
      <c r="AB39" s="595"/>
      <c r="AC39" s="595"/>
      <c r="AD39" s="595"/>
      <c r="AE39" s="595"/>
      <c r="AF39" s="595"/>
      <c r="AG39" s="595"/>
      <c r="AH39" s="595"/>
      <c r="AI39" s="595"/>
      <c r="AJ39" s="595"/>
      <c r="AK39" s="595"/>
      <c r="AL39" s="595"/>
      <c r="AM39" s="596"/>
    </row>
    <row r="40" spans="1:40" ht="27" customHeight="1" thickBot="1">
      <c r="A40" s="551"/>
      <c r="B40" s="552"/>
      <c r="C40" s="552"/>
      <c r="D40" s="552"/>
      <c r="E40" s="552"/>
      <c r="F40" s="552"/>
      <c r="G40" s="552"/>
      <c r="H40" s="552"/>
      <c r="I40" s="552"/>
      <c r="J40" s="552"/>
      <c r="K40" s="552"/>
      <c r="L40" s="552"/>
      <c r="M40" s="552"/>
      <c r="N40" s="552"/>
      <c r="O40" s="552"/>
      <c r="P40" s="552"/>
      <c r="Q40" s="552"/>
      <c r="R40" s="552"/>
      <c r="S40" s="552"/>
      <c r="T40" s="552"/>
      <c r="U40" s="552"/>
      <c r="V40" s="552"/>
      <c r="W40" s="552"/>
      <c r="X40" s="552"/>
      <c r="Y40" s="552"/>
      <c r="Z40" s="552"/>
      <c r="AA40" s="552"/>
      <c r="AB40" s="552"/>
      <c r="AC40" s="552"/>
      <c r="AD40" s="552"/>
      <c r="AE40" s="552"/>
      <c r="AF40" s="552"/>
      <c r="AG40" s="552"/>
      <c r="AH40" s="552"/>
      <c r="AI40" s="552"/>
      <c r="AJ40" s="552"/>
      <c r="AK40" s="552"/>
      <c r="AL40" s="552"/>
      <c r="AM40" s="553"/>
    </row>
    <row r="41" spans="1:40" ht="17.25" customHeight="1">
      <c r="A41" s="554"/>
    </row>
    <row r="42" spans="1:40" ht="20.100000000000001" customHeight="1">
      <c r="B42" s="555" t="s">
        <v>410</v>
      </c>
      <c r="U42" s="597" t="s">
        <v>475</v>
      </c>
      <c r="V42" s="597"/>
      <c r="W42" s="597"/>
      <c r="X42" s="597"/>
      <c r="Y42" s="597"/>
      <c r="Z42" s="597"/>
      <c r="AA42" s="597"/>
      <c r="AB42" s="597"/>
      <c r="AC42" s="597"/>
      <c r="AD42" s="597"/>
      <c r="AE42" s="597"/>
      <c r="AF42" s="597"/>
      <c r="AG42" s="597"/>
      <c r="AH42" s="597"/>
      <c r="AI42" s="597"/>
      <c r="AJ42" s="597"/>
      <c r="AK42" s="597"/>
      <c r="AL42" s="597"/>
      <c r="AM42" s="597"/>
    </row>
    <row r="43" spans="1:40" ht="20.100000000000001" customHeight="1">
      <c r="B43" s="598"/>
      <c r="C43" s="598"/>
      <c r="D43" s="556" t="s">
        <v>419</v>
      </c>
    </row>
    <row r="44" spans="1:40" ht="20.100000000000001" customHeight="1">
      <c r="D44" s="556"/>
    </row>
    <row r="45" spans="1:40" ht="21.75" customHeight="1">
      <c r="Z45" s="492" t="s">
        <v>411</v>
      </c>
      <c r="AA45" s="557" t="s">
        <v>412</v>
      </c>
      <c r="AB45" s="558"/>
      <c r="AC45" s="558"/>
      <c r="AD45" s="558"/>
      <c r="AE45" s="558"/>
      <c r="AF45" s="558"/>
      <c r="AG45" s="558"/>
      <c r="AH45" s="558"/>
      <c r="AI45" s="558"/>
      <c r="AJ45" s="558"/>
      <c r="AK45" s="558"/>
      <c r="AL45" s="599" t="s">
        <v>270</v>
      </c>
      <c r="AM45" s="599"/>
    </row>
    <row r="46" spans="1:40" ht="21.75" customHeight="1">
      <c r="W46" s="559"/>
    </row>
    <row r="47" spans="1:40" ht="27" customHeight="1"/>
    <row r="48" spans="1:40" ht="27" customHeight="1"/>
    <row r="49" spans="40:43" s="492" customFormat="1" ht="27" customHeight="1">
      <c r="AN49" s="494"/>
      <c r="AO49" s="494"/>
      <c r="AP49" s="494"/>
      <c r="AQ49" s="494"/>
    </row>
    <row r="50" spans="40:43" s="492" customFormat="1" ht="27" customHeight="1">
      <c r="AN50" s="494"/>
      <c r="AO50" s="494"/>
      <c r="AP50" s="494"/>
      <c r="AQ50" s="494"/>
    </row>
    <row r="51" spans="40:43" s="492" customFormat="1" ht="27" customHeight="1">
      <c r="AN51" s="494"/>
      <c r="AO51" s="494"/>
      <c r="AP51" s="494"/>
      <c r="AQ51" s="494"/>
    </row>
    <row r="52" spans="40:43" s="492" customFormat="1" ht="27" customHeight="1">
      <c r="AN52" s="494"/>
      <c r="AO52" s="494"/>
      <c r="AP52" s="494"/>
      <c r="AQ52" s="494"/>
    </row>
    <row r="53" spans="40:43" s="492" customFormat="1" ht="27" customHeight="1">
      <c r="AN53" s="494"/>
      <c r="AO53" s="494"/>
      <c r="AP53" s="494"/>
      <c r="AQ53" s="494"/>
    </row>
    <row r="54" spans="40:43" s="492" customFormat="1" ht="27" customHeight="1">
      <c r="AN54" s="494"/>
      <c r="AO54" s="494"/>
      <c r="AP54" s="494"/>
      <c r="AQ54" s="494"/>
    </row>
    <row r="55" spans="40:43" s="492" customFormat="1" ht="27" customHeight="1">
      <c r="AN55" s="494"/>
      <c r="AO55" s="494"/>
      <c r="AP55" s="494"/>
      <c r="AQ55" s="494"/>
    </row>
    <row r="56" spans="40:43" s="492" customFormat="1" ht="27" customHeight="1">
      <c r="AN56" s="494"/>
      <c r="AO56" s="494"/>
      <c r="AP56" s="494"/>
      <c r="AQ56" s="494"/>
    </row>
    <row r="57" spans="40:43" s="492" customFormat="1" ht="27" customHeight="1">
      <c r="AN57" s="494"/>
      <c r="AO57" s="494"/>
      <c r="AP57" s="494"/>
      <c r="AQ57" s="494"/>
    </row>
    <row r="58" spans="40:43" s="492" customFormat="1" ht="27" customHeight="1">
      <c r="AN58" s="494"/>
      <c r="AO58" s="494"/>
      <c r="AP58" s="494"/>
      <c r="AQ58" s="494"/>
    </row>
    <row r="59" spans="40:43" s="492" customFormat="1" ht="27" customHeight="1">
      <c r="AN59" s="494"/>
      <c r="AO59" s="494"/>
      <c r="AP59" s="494"/>
      <c r="AQ59" s="494"/>
    </row>
  </sheetData>
  <mergeCells count="102">
    <mergeCell ref="AE10:AF10"/>
    <mergeCell ref="AB1:AC1"/>
    <mergeCell ref="Q2:R2"/>
    <mergeCell ref="S2:V2"/>
    <mergeCell ref="X2:Y2"/>
    <mergeCell ref="AA2:AB2"/>
    <mergeCell ref="A3:C3"/>
    <mergeCell ref="D3:AD3"/>
    <mergeCell ref="A4:C5"/>
    <mergeCell ref="D4:AD5"/>
    <mergeCell ref="AG10:AM10"/>
    <mergeCell ref="A11:C11"/>
    <mergeCell ref="D11:AF11"/>
    <mergeCell ref="AG11:AM12"/>
    <mergeCell ref="A12:C12"/>
    <mergeCell ref="D12:AF12"/>
    <mergeCell ref="Z7:AD7"/>
    <mergeCell ref="A8:C8"/>
    <mergeCell ref="D8:AD8"/>
    <mergeCell ref="AE8:AF8"/>
    <mergeCell ref="AG8:AM8"/>
    <mergeCell ref="A9:C10"/>
    <mergeCell ref="D9:AD9"/>
    <mergeCell ref="AE9:AF9"/>
    <mergeCell ref="AG9:AM9"/>
    <mergeCell ref="D10:AD10"/>
    <mergeCell ref="A6:D7"/>
    <mergeCell ref="E6:G7"/>
    <mergeCell ref="H6:I7"/>
    <mergeCell ref="J6:K7"/>
    <mergeCell ref="L6:M7"/>
    <mergeCell ref="N6:Q7"/>
    <mergeCell ref="R6:Y7"/>
    <mergeCell ref="Z6:AD6"/>
    <mergeCell ref="A17:C17"/>
    <mergeCell ref="J17:L17"/>
    <mergeCell ref="R17:AI17"/>
    <mergeCell ref="AJ17:AM17"/>
    <mergeCell ref="A18:AN18"/>
    <mergeCell ref="R19:AM19"/>
    <mergeCell ref="A13:AM13"/>
    <mergeCell ref="A15:C15"/>
    <mergeCell ref="J15:L15"/>
    <mergeCell ref="R15:AI15"/>
    <mergeCell ref="AJ15:AM15"/>
    <mergeCell ref="A16:C16"/>
    <mergeCell ref="J16:L16"/>
    <mergeCell ref="R16:AI16"/>
    <mergeCell ref="AJ16:AM16"/>
    <mergeCell ref="A22:C22"/>
    <mergeCell ref="J22:L22"/>
    <mergeCell ref="R22:AM22"/>
    <mergeCell ref="A23:AN23"/>
    <mergeCell ref="P24:AM24"/>
    <mergeCell ref="A24:N24"/>
    <mergeCell ref="A20:C20"/>
    <mergeCell ref="J20:L20"/>
    <mergeCell ref="R20:AM20"/>
    <mergeCell ref="A21:C21"/>
    <mergeCell ref="J21:L21"/>
    <mergeCell ref="R21:AM21"/>
    <mergeCell ref="Q27:S27"/>
    <mergeCell ref="A28:G29"/>
    <mergeCell ref="H28:N29"/>
    <mergeCell ref="P28:S28"/>
    <mergeCell ref="Z28:AH29"/>
    <mergeCell ref="AI28:AM29"/>
    <mergeCell ref="Q29:S29"/>
    <mergeCell ref="A25:G25"/>
    <mergeCell ref="H25:N25"/>
    <mergeCell ref="P25:Y25"/>
    <mergeCell ref="Z25:AH25"/>
    <mergeCell ref="AI25:AM25"/>
    <mergeCell ref="A26:G27"/>
    <mergeCell ref="H26:N27"/>
    <mergeCell ref="P26:S26"/>
    <mergeCell ref="Z26:AH27"/>
    <mergeCell ref="AI26:AM27"/>
    <mergeCell ref="A32:G33"/>
    <mergeCell ref="H32:N33"/>
    <mergeCell ref="P32:S32"/>
    <mergeCell ref="Z32:AH33"/>
    <mergeCell ref="AI32:AM33"/>
    <mergeCell ref="Q33:S33"/>
    <mergeCell ref="A30:G31"/>
    <mergeCell ref="H30:N31"/>
    <mergeCell ref="P30:S30"/>
    <mergeCell ref="Z30:AH31"/>
    <mergeCell ref="AI30:AM31"/>
    <mergeCell ref="Q31:S31"/>
    <mergeCell ref="A37:AM37"/>
    <mergeCell ref="A38:AM38"/>
    <mergeCell ref="A39:AM39"/>
    <mergeCell ref="U42:AM42"/>
    <mergeCell ref="B43:C43"/>
    <mergeCell ref="AL45:AM45"/>
    <mergeCell ref="A34:G35"/>
    <mergeCell ref="H34:N35"/>
    <mergeCell ref="P34:S34"/>
    <mergeCell ref="Z34:AH35"/>
    <mergeCell ref="AI34:AM35"/>
    <mergeCell ref="A36:AN36"/>
  </mergeCells>
  <phoneticPr fontId="3"/>
  <pageMargins left="0.7" right="0.7" top="0.75" bottom="0.75" header="0.3" footer="0.3"/>
  <pageSetup paperSize="9" scale="77"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indexed="12"/>
    <pageSetUpPr fitToPage="1"/>
  </sheetPr>
  <dimension ref="A1:AN59"/>
  <sheetViews>
    <sheetView topLeftCell="A13" workbookViewId="0">
      <selection activeCell="Z26" sqref="Z26:AH27"/>
    </sheetView>
  </sheetViews>
  <sheetFormatPr defaultColWidth="8.625" defaultRowHeight="12.75"/>
  <cols>
    <col min="1" max="39" width="2.625" style="492" customWidth="1"/>
    <col min="40" max="42" width="13.625" style="494" customWidth="1"/>
    <col min="43" max="43" width="9.375" style="494" bestFit="1" customWidth="1"/>
    <col min="44" max="16384" width="8.625" style="494"/>
  </cols>
  <sheetData>
    <row r="1" spans="1:39" ht="21.75" customHeight="1">
      <c r="A1" s="491"/>
      <c r="AB1" s="772"/>
      <c r="AC1" s="772"/>
      <c r="AD1" s="493"/>
      <c r="AE1" s="493"/>
      <c r="AF1" s="493"/>
      <c r="AM1" s="493"/>
    </row>
    <row r="2" spans="1:39" ht="30" customHeight="1" thickBot="1">
      <c r="A2" s="495" t="s">
        <v>373</v>
      </c>
      <c r="Q2" s="773"/>
      <c r="R2" s="773"/>
      <c r="S2" s="773"/>
      <c r="T2" s="773"/>
      <c r="U2" s="773"/>
      <c r="V2" s="773"/>
      <c r="W2" s="590"/>
      <c r="X2" s="773"/>
      <c r="Y2" s="773"/>
      <c r="Z2" s="590"/>
      <c r="AA2" s="773"/>
      <c r="AB2" s="773"/>
      <c r="AC2" s="590"/>
      <c r="AD2" s="590"/>
      <c r="AG2"/>
    </row>
    <row r="3" spans="1:39" ht="20.25" customHeight="1">
      <c r="A3" s="774" t="s">
        <v>374</v>
      </c>
      <c r="B3" s="775"/>
      <c r="C3" s="776"/>
      <c r="D3" s="777"/>
      <c r="E3" s="778"/>
      <c r="F3" s="778"/>
      <c r="G3" s="778"/>
      <c r="H3" s="778"/>
      <c r="I3" s="778"/>
      <c r="J3" s="778"/>
      <c r="K3" s="778"/>
      <c r="L3" s="778"/>
      <c r="M3" s="778"/>
      <c r="N3" s="778"/>
      <c r="O3" s="778"/>
      <c r="P3" s="778"/>
      <c r="Q3" s="778"/>
      <c r="R3" s="778"/>
      <c r="S3" s="778"/>
      <c r="T3" s="778"/>
      <c r="U3" s="778"/>
      <c r="V3" s="778"/>
      <c r="W3" s="778"/>
      <c r="X3" s="778"/>
      <c r="Y3" s="778"/>
      <c r="Z3" s="778"/>
      <c r="AA3" s="778"/>
      <c r="AB3" s="778"/>
      <c r="AC3" s="778"/>
      <c r="AD3" s="779"/>
      <c r="AE3" s="496"/>
      <c r="AF3" s="496"/>
      <c r="AM3" s="497"/>
    </row>
    <row r="4" spans="1:39" ht="18" customHeight="1">
      <c r="A4" s="780" t="s">
        <v>375</v>
      </c>
      <c r="B4" s="781"/>
      <c r="C4" s="782"/>
      <c r="D4" s="786"/>
      <c r="E4" s="787"/>
      <c r="F4" s="787"/>
      <c r="G4" s="787"/>
      <c r="H4" s="787"/>
      <c r="I4" s="787"/>
      <c r="J4" s="787"/>
      <c r="K4" s="787"/>
      <c r="L4" s="787"/>
      <c r="M4" s="787"/>
      <c r="N4" s="787"/>
      <c r="O4" s="787"/>
      <c r="P4" s="787"/>
      <c r="Q4" s="787"/>
      <c r="R4" s="787"/>
      <c r="S4" s="787"/>
      <c r="T4" s="787"/>
      <c r="U4" s="787"/>
      <c r="V4" s="787"/>
      <c r="W4" s="787"/>
      <c r="X4" s="787"/>
      <c r="Y4" s="787"/>
      <c r="Z4" s="787"/>
      <c r="AA4" s="787"/>
      <c r="AB4" s="787"/>
      <c r="AC4" s="787"/>
      <c r="AD4" s="788"/>
      <c r="AE4" s="498"/>
      <c r="AF4" s="498"/>
      <c r="AM4" s="498"/>
    </row>
    <row r="5" spans="1:39" ht="24" customHeight="1">
      <c r="A5" s="783"/>
      <c r="B5" s="784"/>
      <c r="C5" s="785"/>
      <c r="D5" s="789"/>
      <c r="E5" s="790"/>
      <c r="F5" s="790"/>
      <c r="G5" s="790"/>
      <c r="H5" s="790"/>
      <c r="I5" s="790"/>
      <c r="J5" s="790"/>
      <c r="K5" s="790"/>
      <c r="L5" s="790"/>
      <c r="M5" s="790"/>
      <c r="N5" s="790"/>
      <c r="O5" s="790"/>
      <c r="P5" s="790"/>
      <c r="Q5" s="790"/>
      <c r="R5" s="790"/>
      <c r="S5" s="790"/>
      <c r="T5" s="790"/>
      <c r="U5" s="790"/>
      <c r="V5" s="790"/>
      <c r="W5" s="790"/>
      <c r="X5" s="790"/>
      <c r="Y5" s="790"/>
      <c r="Z5" s="790"/>
      <c r="AA5" s="790"/>
      <c r="AB5" s="790"/>
      <c r="AC5" s="790"/>
      <c r="AD5" s="791"/>
      <c r="AE5" s="498"/>
      <c r="AF5" s="498"/>
      <c r="AM5" s="498"/>
    </row>
    <row r="6" spans="1:39" ht="27" customHeight="1">
      <c r="A6" s="755" t="s">
        <v>473</v>
      </c>
      <c r="B6" s="756"/>
      <c r="C6" s="756"/>
      <c r="D6" s="756"/>
      <c r="E6" s="759" t="s">
        <v>8</v>
      </c>
      <c r="F6" s="759"/>
      <c r="G6" s="759"/>
      <c r="H6" s="756"/>
      <c r="I6" s="756"/>
      <c r="J6" s="761" t="s">
        <v>301</v>
      </c>
      <c r="K6" s="761"/>
      <c r="L6" s="756"/>
      <c r="M6" s="756"/>
      <c r="N6" s="763" t="s">
        <v>376</v>
      </c>
      <c r="O6" s="763"/>
      <c r="P6" s="763"/>
      <c r="Q6" s="763"/>
      <c r="R6" s="756" t="s">
        <v>377</v>
      </c>
      <c r="S6" s="756"/>
      <c r="T6" s="756"/>
      <c r="U6" s="756"/>
      <c r="V6" s="756"/>
      <c r="W6" s="756"/>
      <c r="X6" s="756"/>
      <c r="Y6" s="765"/>
      <c r="Z6" s="767" t="s">
        <v>378</v>
      </c>
      <c r="AA6" s="768"/>
      <c r="AB6" s="768"/>
      <c r="AC6" s="768"/>
      <c r="AD6" s="769"/>
      <c r="AE6" s="498"/>
      <c r="AF6" s="498"/>
      <c r="AM6" s="498"/>
    </row>
    <row r="7" spans="1:39" ht="27" customHeight="1" thickBot="1">
      <c r="A7" s="757"/>
      <c r="B7" s="758"/>
      <c r="C7" s="758"/>
      <c r="D7" s="758"/>
      <c r="E7" s="760"/>
      <c r="F7" s="760"/>
      <c r="G7" s="760"/>
      <c r="H7" s="758"/>
      <c r="I7" s="758"/>
      <c r="J7" s="762"/>
      <c r="K7" s="762"/>
      <c r="L7" s="758"/>
      <c r="M7" s="758"/>
      <c r="N7" s="764"/>
      <c r="O7" s="764"/>
      <c r="P7" s="764"/>
      <c r="Q7" s="764"/>
      <c r="R7" s="758"/>
      <c r="S7" s="758"/>
      <c r="T7" s="758"/>
      <c r="U7" s="758"/>
      <c r="V7" s="758"/>
      <c r="W7" s="758"/>
      <c r="X7" s="758"/>
      <c r="Y7" s="766"/>
      <c r="Z7" s="734"/>
      <c r="AA7" s="735"/>
      <c r="AB7" s="735"/>
      <c r="AC7" s="735"/>
      <c r="AD7" s="736"/>
      <c r="AE7" s="498"/>
      <c r="AF7" s="498"/>
      <c r="AG7" s="498"/>
      <c r="AH7" s="498"/>
      <c r="AI7" s="498"/>
      <c r="AJ7" s="498"/>
      <c r="AK7" s="498"/>
      <c r="AL7" s="498"/>
      <c r="AM7" s="498"/>
    </row>
    <row r="8" spans="1:39" ht="23.25" customHeight="1">
      <c r="A8" s="737" t="s">
        <v>379</v>
      </c>
      <c r="B8" s="738"/>
      <c r="C8" s="738"/>
      <c r="D8" s="739"/>
      <c r="E8" s="739"/>
      <c r="F8" s="739"/>
      <c r="G8" s="739"/>
      <c r="H8" s="739"/>
      <c r="I8" s="739"/>
      <c r="J8" s="739"/>
      <c r="K8" s="739"/>
      <c r="L8" s="739"/>
      <c r="M8" s="739"/>
      <c r="N8" s="739"/>
      <c r="O8" s="739"/>
      <c r="P8" s="739"/>
      <c r="Q8" s="739"/>
      <c r="R8" s="739"/>
      <c r="S8" s="739"/>
      <c r="T8" s="739"/>
      <c r="U8" s="739"/>
      <c r="V8" s="739"/>
      <c r="W8" s="739"/>
      <c r="X8" s="739"/>
      <c r="Y8" s="739"/>
      <c r="Z8" s="739"/>
      <c r="AA8" s="739"/>
      <c r="AB8" s="739"/>
      <c r="AC8" s="739"/>
      <c r="AD8" s="740"/>
      <c r="AE8" s="741" t="s">
        <v>380</v>
      </c>
      <c r="AF8" s="742"/>
      <c r="AG8" s="743"/>
      <c r="AH8" s="743"/>
      <c r="AI8" s="743"/>
      <c r="AJ8" s="743"/>
      <c r="AK8" s="743"/>
      <c r="AL8" s="743"/>
      <c r="AM8" s="744"/>
    </row>
    <row r="9" spans="1:39" ht="23.25" customHeight="1">
      <c r="A9" s="745" t="s">
        <v>381</v>
      </c>
      <c r="B9" s="746"/>
      <c r="C9" s="746"/>
      <c r="D9" s="749" t="s">
        <v>382</v>
      </c>
      <c r="E9" s="749"/>
      <c r="F9" s="749"/>
      <c r="G9" s="749"/>
      <c r="H9" s="749"/>
      <c r="I9" s="749"/>
      <c r="J9" s="749"/>
      <c r="K9" s="749"/>
      <c r="L9" s="749"/>
      <c r="M9" s="749"/>
      <c r="N9" s="749"/>
      <c r="O9" s="749"/>
      <c r="P9" s="749"/>
      <c r="Q9" s="749"/>
      <c r="R9" s="749"/>
      <c r="S9" s="749"/>
      <c r="T9" s="749"/>
      <c r="U9" s="749"/>
      <c r="V9" s="749"/>
      <c r="W9" s="749"/>
      <c r="X9" s="749"/>
      <c r="Y9" s="749"/>
      <c r="Z9" s="749"/>
      <c r="AA9" s="749"/>
      <c r="AB9" s="749"/>
      <c r="AC9" s="749"/>
      <c r="AD9" s="750"/>
      <c r="AE9" s="751" t="s">
        <v>383</v>
      </c>
      <c r="AF9" s="752"/>
      <c r="AG9" s="718"/>
      <c r="AH9" s="718"/>
      <c r="AI9" s="718"/>
      <c r="AJ9" s="718"/>
      <c r="AK9" s="718"/>
      <c r="AL9" s="718"/>
      <c r="AM9" s="719"/>
    </row>
    <row r="10" spans="1:39" ht="23.25" customHeight="1">
      <c r="A10" s="747"/>
      <c r="B10" s="748"/>
      <c r="C10" s="748"/>
      <c r="D10" s="753"/>
      <c r="E10" s="753"/>
      <c r="F10" s="753"/>
      <c r="G10" s="753"/>
      <c r="H10" s="753"/>
      <c r="I10" s="753"/>
      <c r="J10" s="753"/>
      <c r="K10" s="753"/>
      <c r="L10" s="753"/>
      <c r="M10" s="753"/>
      <c r="N10" s="753"/>
      <c r="O10" s="753"/>
      <c r="P10" s="753"/>
      <c r="Q10" s="753"/>
      <c r="R10" s="753"/>
      <c r="S10" s="753"/>
      <c r="T10" s="753"/>
      <c r="U10" s="753"/>
      <c r="V10" s="753"/>
      <c r="W10" s="753"/>
      <c r="X10" s="753"/>
      <c r="Y10" s="753"/>
      <c r="Z10" s="753"/>
      <c r="AA10" s="753"/>
      <c r="AB10" s="753"/>
      <c r="AC10" s="753"/>
      <c r="AD10" s="754"/>
      <c r="AE10" s="770" t="s">
        <v>384</v>
      </c>
      <c r="AF10" s="771"/>
      <c r="AG10" s="718"/>
      <c r="AH10" s="718"/>
      <c r="AI10" s="718"/>
      <c r="AJ10" s="718"/>
      <c r="AK10" s="718"/>
      <c r="AL10" s="718"/>
      <c r="AM10" s="719"/>
    </row>
    <row r="11" spans="1:39" ht="16.5" customHeight="1">
      <c r="A11" s="720" t="s">
        <v>379</v>
      </c>
      <c r="B11" s="721"/>
      <c r="C11" s="721"/>
      <c r="D11" s="722"/>
      <c r="E11" s="722"/>
      <c r="F11" s="722"/>
      <c r="G11" s="722"/>
      <c r="H11" s="722"/>
      <c r="I11" s="722"/>
      <c r="J11" s="722"/>
      <c r="K11" s="722"/>
      <c r="L11" s="722"/>
      <c r="M11" s="722"/>
      <c r="N11" s="722"/>
      <c r="O11" s="722"/>
      <c r="P11" s="722"/>
      <c r="Q11" s="722"/>
      <c r="R11" s="722"/>
      <c r="S11" s="722"/>
      <c r="T11" s="722"/>
      <c r="U11" s="722"/>
      <c r="V11" s="722"/>
      <c r="W11" s="722"/>
      <c r="X11" s="722"/>
      <c r="Y11" s="722"/>
      <c r="Z11" s="722"/>
      <c r="AA11" s="722"/>
      <c r="AB11" s="722"/>
      <c r="AC11" s="722"/>
      <c r="AD11" s="722"/>
      <c r="AE11" s="722"/>
      <c r="AF11" s="723"/>
      <c r="AG11" s="724" t="s">
        <v>385</v>
      </c>
      <c r="AH11" s="725"/>
      <c r="AI11" s="725"/>
      <c r="AJ11" s="725"/>
      <c r="AK11" s="725"/>
      <c r="AL11" s="725"/>
      <c r="AM11" s="726"/>
    </row>
    <row r="12" spans="1:39" ht="35.25" customHeight="1" thickBot="1">
      <c r="A12" s="730" t="s">
        <v>386</v>
      </c>
      <c r="B12" s="731"/>
      <c r="C12" s="731"/>
      <c r="D12" s="732" t="s">
        <v>387</v>
      </c>
      <c r="E12" s="732"/>
      <c r="F12" s="732"/>
      <c r="G12" s="732"/>
      <c r="H12" s="732"/>
      <c r="I12" s="732"/>
      <c r="J12" s="732"/>
      <c r="K12" s="732"/>
      <c r="L12" s="732"/>
      <c r="M12" s="732"/>
      <c r="N12" s="732"/>
      <c r="O12" s="732"/>
      <c r="P12" s="732"/>
      <c r="Q12" s="732"/>
      <c r="R12" s="732"/>
      <c r="S12" s="732"/>
      <c r="T12" s="732"/>
      <c r="U12" s="732"/>
      <c r="V12" s="732"/>
      <c r="W12" s="732"/>
      <c r="X12" s="732"/>
      <c r="Y12" s="732"/>
      <c r="Z12" s="732"/>
      <c r="AA12" s="732"/>
      <c r="AB12" s="732"/>
      <c r="AC12" s="732"/>
      <c r="AD12" s="732"/>
      <c r="AE12" s="732"/>
      <c r="AF12" s="733"/>
      <c r="AG12" s="727"/>
      <c r="AH12" s="728"/>
      <c r="AI12" s="728"/>
      <c r="AJ12" s="728"/>
      <c r="AK12" s="728"/>
      <c r="AL12" s="728"/>
      <c r="AM12" s="729"/>
    </row>
    <row r="13" spans="1:39" ht="18.75" customHeight="1" thickBot="1">
      <c r="A13" s="704" t="s">
        <v>474</v>
      </c>
      <c r="B13" s="704"/>
      <c r="C13" s="704"/>
      <c r="D13" s="705"/>
      <c r="E13" s="705"/>
      <c r="F13" s="705"/>
      <c r="G13" s="705"/>
      <c r="H13" s="705"/>
      <c r="I13" s="705"/>
      <c r="J13" s="705"/>
      <c r="K13" s="705"/>
      <c r="L13" s="705"/>
      <c r="M13" s="705"/>
      <c r="N13" s="705"/>
      <c r="O13" s="705"/>
      <c r="P13" s="705"/>
      <c r="Q13" s="705"/>
      <c r="R13" s="705"/>
      <c r="S13" s="705"/>
      <c r="T13" s="705"/>
      <c r="U13" s="705"/>
      <c r="V13" s="705"/>
      <c r="W13" s="705"/>
      <c r="X13" s="705"/>
      <c r="Y13" s="705"/>
      <c r="Z13" s="705"/>
      <c r="AA13" s="705"/>
      <c r="AB13" s="705"/>
      <c r="AC13" s="705"/>
      <c r="AD13" s="705"/>
      <c r="AE13" s="705"/>
      <c r="AF13" s="705"/>
      <c r="AG13" s="704"/>
      <c r="AH13" s="704"/>
      <c r="AI13" s="704"/>
      <c r="AJ13" s="704"/>
      <c r="AK13" s="704"/>
      <c r="AL13" s="704"/>
      <c r="AM13" s="704"/>
    </row>
    <row r="14" spans="1:39" ht="27" customHeight="1" thickBot="1">
      <c r="A14" s="499"/>
      <c r="B14" s="500"/>
      <c r="C14" s="501"/>
      <c r="D14" s="501" t="s">
        <v>388</v>
      </c>
      <c r="E14" s="501"/>
      <c r="F14" s="501"/>
      <c r="G14" s="501"/>
      <c r="H14" s="501"/>
      <c r="I14" s="501"/>
      <c r="J14" s="501"/>
      <c r="K14" s="501"/>
      <c r="L14" s="501"/>
      <c r="M14" s="501" t="s">
        <v>389</v>
      </c>
      <c r="N14" s="501"/>
      <c r="O14" s="501"/>
      <c r="P14" s="501"/>
      <c r="Q14" s="502"/>
      <c r="R14" s="503"/>
      <c r="S14" s="503"/>
      <c r="T14" s="503"/>
      <c r="U14" s="503"/>
      <c r="V14" s="503"/>
      <c r="W14" s="503" t="s">
        <v>390</v>
      </c>
      <c r="X14" s="503"/>
      <c r="Y14" s="503"/>
      <c r="Z14" s="503"/>
      <c r="AA14" s="503"/>
      <c r="AB14" s="503" t="s">
        <v>391</v>
      </c>
      <c r="AC14" s="503"/>
      <c r="AD14" s="503"/>
      <c r="AE14" s="503"/>
      <c r="AF14" s="504"/>
      <c r="AG14" s="504"/>
      <c r="AH14" s="504"/>
      <c r="AI14" s="504"/>
      <c r="AJ14" s="504"/>
      <c r="AK14" s="504"/>
      <c r="AL14" s="504"/>
      <c r="AM14" s="505"/>
    </row>
    <row r="15" spans="1:39" ht="27" customHeight="1" thickTop="1">
      <c r="A15" s="684"/>
      <c r="B15" s="666"/>
      <c r="C15" s="666"/>
      <c r="D15" s="506" t="s">
        <v>392</v>
      </c>
      <c r="E15" s="507"/>
      <c r="F15" s="506" t="s">
        <v>393</v>
      </c>
      <c r="G15" s="507"/>
      <c r="H15" s="506" t="s">
        <v>394</v>
      </c>
      <c r="I15" s="506" t="s">
        <v>395</v>
      </c>
      <c r="J15" s="685"/>
      <c r="K15" s="685"/>
      <c r="L15" s="685"/>
      <c r="M15" s="506" t="s">
        <v>392</v>
      </c>
      <c r="N15" s="507"/>
      <c r="O15" s="506" t="s">
        <v>393</v>
      </c>
      <c r="P15" s="507"/>
      <c r="Q15" s="509" t="s">
        <v>394</v>
      </c>
      <c r="R15" s="706"/>
      <c r="S15" s="707"/>
      <c r="T15" s="707"/>
      <c r="U15" s="707"/>
      <c r="V15" s="707"/>
      <c r="W15" s="707"/>
      <c r="X15" s="707"/>
      <c r="Y15" s="707"/>
      <c r="Z15" s="707"/>
      <c r="AA15" s="707"/>
      <c r="AB15" s="707"/>
      <c r="AC15" s="707"/>
      <c r="AD15" s="707"/>
      <c r="AE15" s="707"/>
      <c r="AF15" s="707"/>
      <c r="AG15" s="707"/>
      <c r="AH15" s="707"/>
      <c r="AI15" s="708"/>
      <c r="AJ15" s="709" t="s">
        <v>396</v>
      </c>
      <c r="AK15" s="710"/>
      <c r="AL15" s="710"/>
      <c r="AM15" s="711"/>
    </row>
    <row r="16" spans="1:39" ht="27" customHeight="1">
      <c r="A16" s="689"/>
      <c r="B16" s="690"/>
      <c r="C16" s="690"/>
      <c r="D16" s="511" t="s">
        <v>392</v>
      </c>
      <c r="E16" s="510"/>
      <c r="F16" s="511" t="s">
        <v>393</v>
      </c>
      <c r="G16" s="510"/>
      <c r="H16" s="511" t="s">
        <v>394</v>
      </c>
      <c r="I16" s="511" t="s">
        <v>397</v>
      </c>
      <c r="J16" s="690"/>
      <c r="K16" s="690"/>
      <c r="L16" s="690"/>
      <c r="M16" s="511" t="s">
        <v>392</v>
      </c>
      <c r="N16" s="510"/>
      <c r="O16" s="511" t="s">
        <v>393</v>
      </c>
      <c r="P16" s="510"/>
      <c r="Q16" s="512" t="s">
        <v>394</v>
      </c>
      <c r="R16" s="712"/>
      <c r="S16" s="713"/>
      <c r="T16" s="713"/>
      <c r="U16" s="713"/>
      <c r="V16" s="713"/>
      <c r="W16" s="713"/>
      <c r="X16" s="713"/>
      <c r="Y16" s="713"/>
      <c r="Z16" s="713"/>
      <c r="AA16" s="713"/>
      <c r="AB16" s="713"/>
      <c r="AC16" s="713"/>
      <c r="AD16" s="713"/>
      <c r="AE16" s="713"/>
      <c r="AF16" s="713"/>
      <c r="AG16" s="713"/>
      <c r="AH16" s="713"/>
      <c r="AI16" s="714"/>
      <c r="AJ16" s="715" t="s">
        <v>396</v>
      </c>
      <c r="AK16" s="716"/>
      <c r="AL16" s="716"/>
      <c r="AM16" s="717"/>
    </row>
    <row r="17" spans="1:40" ht="27" customHeight="1" thickBot="1">
      <c r="A17" s="673"/>
      <c r="B17" s="674"/>
      <c r="C17" s="674"/>
      <c r="D17" s="514" t="s">
        <v>392</v>
      </c>
      <c r="E17" s="515"/>
      <c r="F17" s="514" t="s">
        <v>393</v>
      </c>
      <c r="G17" s="515"/>
      <c r="H17" s="514" t="s">
        <v>394</v>
      </c>
      <c r="I17" s="514" t="s">
        <v>398</v>
      </c>
      <c r="J17" s="674"/>
      <c r="K17" s="674"/>
      <c r="L17" s="674"/>
      <c r="M17" s="514" t="s">
        <v>392</v>
      </c>
      <c r="N17" s="515"/>
      <c r="O17" s="514" t="s">
        <v>393</v>
      </c>
      <c r="P17" s="515"/>
      <c r="Q17" s="516" t="s">
        <v>394</v>
      </c>
      <c r="R17" s="694"/>
      <c r="S17" s="695"/>
      <c r="T17" s="695"/>
      <c r="U17" s="695"/>
      <c r="V17" s="695"/>
      <c r="W17" s="695"/>
      <c r="X17" s="695"/>
      <c r="Y17" s="695"/>
      <c r="Z17" s="695"/>
      <c r="AA17" s="695"/>
      <c r="AB17" s="695"/>
      <c r="AC17" s="695"/>
      <c r="AD17" s="695"/>
      <c r="AE17" s="695"/>
      <c r="AF17" s="695"/>
      <c r="AG17" s="695"/>
      <c r="AH17" s="695"/>
      <c r="AI17" s="696"/>
      <c r="AJ17" s="697" t="s">
        <v>396</v>
      </c>
      <c r="AK17" s="698"/>
      <c r="AL17" s="698"/>
      <c r="AM17" s="699"/>
    </row>
    <row r="18" spans="1:40" ht="11.25" customHeight="1" thickBot="1">
      <c r="A18" s="700"/>
      <c r="B18" s="700"/>
      <c r="C18" s="700"/>
      <c r="D18" s="700"/>
      <c r="E18" s="700"/>
      <c r="F18" s="700"/>
      <c r="G18" s="700"/>
      <c r="H18" s="700"/>
      <c r="I18" s="700"/>
      <c r="J18" s="700"/>
      <c r="K18" s="700"/>
      <c r="L18" s="700"/>
      <c r="M18" s="700"/>
      <c r="N18" s="700"/>
      <c r="O18" s="700"/>
      <c r="P18" s="700"/>
      <c r="Q18" s="700"/>
      <c r="R18" s="700"/>
      <c r="S18" s="700"/>
      <c r="T18" s="700"/>
      <c r="U18" s="700"/>
      <c r="V18" s="700"/>
      <c r="W18" s="700"/>
      <c r="X18" s="700"/>
      <c r="Y18" s="700"/>
      <c r="Z18" s="700"/>
      <c r="AA18" s="700"/>
      <c r="AB18" s="700"/>
      <c r="AC18" s="700"/>
      <c r="AD18" s="700"/>
      <c r="AE18" s="700"/>
      <c r="AF18" s="700"/>
      <c r="AG18" s="700"/>
      <c r="AH18" s="700"/>
      <c r="AI18" s="700"/>
      <c r="AJ18" s="700"/>
      <c r="AK18" s="700"/>
      <c r="AL18" s="700"/>
      <c r="AM18" s="700"/>
      <c r="AN18" s="700"/>
    </row>
    <row r="19" spans="1:40" ht="27" customHeight="1" thickBot="1">
      <c r="A19" s="499"/>
      <c r="B19" s="500"/>
      <c r="C19" s="500"/>
      <c r="D19" s="501" t="s">
        <v>388</v>
      </c>
      <c r="E19" s="501"/>
      <c r="F19" s="501"/>
      <c r="G19" s="501"/>
      <c r="H19" s="501"/>
      <c r="I19" s="501"/>
      <c r="J19" s="501"/>
      <c r="K19" s="501"/>
      <c r="L19" s="501"/>
      <c r="M19" s="501" t="s">
        <v>389</v>
      </c>
      <c r="N19" s="501"/>
      <c r="O19" s="501"/>
      <c r="P19" s="501"/>
      <c r="Q19" s="502"/>
      <c r="R19" s="701" t="s">
        <v>399</v>
      </c>
      <c r="S19" s="702"/>
      <c r="T19" s="702"/>
      <c r="U19" s="702"/>
      <c r="V19" s="702"/>
      <c r="W19" s="702"/>
      <c r="X19" s="702"/>
      <c r="Y19" s="702"/>
      <c r="Z19" s="702"/>
      <c r="AA19" s="702"/>
      <c r="AB19" s="702"/>
      <c r="AC19" s="702"/>
      <c r="AD19" s="702"/>
      <c r="AE19" s="702"/>
      <c r="AF19" s="702"/>
      <c r="AG19" s="702"/>
      <c r="AH19" s="702"/>
      <c r="AI19" s="702"/>
      <c r="AJ19" s="702"/>
      <c r="AK19" s="702"/>
      <c r="AL19" s="702"/>
      <c r="AM19" s="703"/>
    </row>
    <row r="20" spans="1:40" ht="27" customHeight="1" thickTop="1">
      <c r="A20" s="684"/>
      <c r="B20" s="666"/>
      <c r="C20" s="666"/>
      <c r="D20" s="517" t="s">
        <v>392</v>
      </c>
      <c r="E20" s="508"/>
      <c r="F20" s="517" t="s">
        <v>393</v>
      </c>
      <c r="G20" s="508"/>
      <c r="H20" s="517" t="s">
        <v>394</v>
      </c>
      <c r="I20" s="517" t="s">
        <v>398</v>
      </c>
      <c r="J20" s="685"/>
      <c r="K20" s="685"/>
      <c r="L20" s="685"/>
      <c r="M20" s="517" t="s">
        <v>392</v>
      </c>
      <c r="N20" s="508"/>
      <c r="O20" s="517" t="s">
        <v>393</v>
      </c>
      <c r="P20" s="508"/>
      <c r="Q20" s="518" t="s">
        <v>394</v>
      </c>
      <c r="R20" s="686"/>
      <c r="S20" s="687"/>
      <c r="T20" s="687"/>
      <c r="U20" s="687"/>
      <c r="V20" s="687"/>
      <c r="W20" s="687"/>
      <c r="X20" s="687"/>
      <c r="Y20" s="687"/>
      <c r="Z20" s="687"/>
      <c r="AA20" s="687"/>
      <c r="AB20" s="687"/>
      <c r="AC20" s="687"/>
      <c r="AD20" s="687"/>
      <c r="AE20" s="687"/>
      <c r="AF20" s="687"/>
      <c r="AG20" s="687"/>
      <c r="AH20" s="687"/>
      <c r="AI20" s="687"/>
      <c r="AJ20" s="687"/>
      <c r="AK20" s="687"/>
      <c r="AL20" s="687"/>
      <c r="AM20" s="688"/>
    </row>
    <row r="21" spans="1:40" ht="27" customHeight="1">
      <c r="A21" s="689"/>
      <c r="B21" s="690"/>
      <c r="C21" s="690"/>
      <c r="D21" s="511" t="s">
        <v>392</v>
      </c>
      <c r="E21" s="510"/>
      <c r="F21" s="511" t="s">
        <v>393</v>
      </c>
      <c r="G21" s="510"/>
      <c r="H21" s="511" t="s">
        <v>394</v>
      </c>
      <c r="I21" s="511" t="s">
        <v>400</v>
      </c>
      <c r="J21" s="690"/>
      <c r="K21" s="690"/>
      <c r="L21" s="690"/>
      <c r="M21" s="511" t="s">
        <v>392</v>
      </c>
      <c r="N21" s="510"/>
      <c r="O21" s="511" t="s">
        <v>393</v>
      </c>
      <c r="P21" s="510"/>
      <c r="Q21" s="512" t="s">
        <v>394</v>
      </c>
      <c r="R21" s="691"/>
      <c r="S21" s="692"/>
      <c r="T21" s="692"/>
      <c r="U21" s="692"/>
      <c r="V21" s="692"/>
      <c r="W21" s="692"/>
      <c r="X21" s="692"/>
      <c r="Y21" s="692"/>
      <c r="Z21" s="692"/>
      <c r="AA21" s="692"/>
      <c r="AB21" s="692"/>
      <c r="AC21" s="692"/>
      <c r="AD21" s="692"/>
      <c r="AE21" s="692"/>
      <c r="AF21" s="692"/>
      <c r="AG21" s="692"/>
      <c r="AH21" s="692"/>
      <c r="AI21" s="692"/>
      <c r="AJ21" s="692"/>
      <c r="AK21" s="692"/>
      <c r="AL21" s="692"/>
      <c r="AM21" s="693"/>
    </row>
    <row r="22" spans="1:40" ht="27" customHeight="1" thickBot="1">
      <c r="A22" s="673"/>
      <c r="B22" s="674"/>
      <c r="C22" s="674"/>
      <c r="D22" s="519" t="s">
        <v>392</v>
      </c>
      <c r="E22" s="513"/>
      <c r="F22" s="519" t="s">
        <v>393</v>
      </c>
      <c r="G22" s="513"/>
      <c r="H22" s="519" t="s">
        <v>394</v>
      </c>
      <c r="I22" s="519" t="s">
        <v>400</v>
      </c>
      <c r="J22" s="674"/>
      <c r="K22" s="674"/>
      <c r="L22" s="674"/>
      <c r="M22" s="519" t="s">
        <v>392</v>
      </c>
      <c r="N22" s="513"/>
      <c r="O22" s="519" t="s">
        <v>393</v>
      </c>
      <c r="P22" s="513"/>
      <c r="Q22" s="520" t="s">
        <v>394</v>
      </c>
      <c r="R22" s="675"/>
      <c r="S22" s="676"/>
      <c r="T22" s="676"/>
      <c r="U22" s="676"/>
      <c r="V22" s="676"/>
      <c r="W22" s="676"/>
      <c r="X22" s="676"/>
      <c r="Y22" s="676"/>
      <c r="Z22" s="676"/>
      <c r="AA22" s="676"/>
      <c r="AB22" s="676"/>
      <c r="AC22" s="676"/>
      <c r="AD22" s="676"/>
      <c r="AE22" s="676"/>
      <c r="AF22" s="676"/>
      <c r="AG22" s="676"/>
      <c r="AH22" s="676"/>
      <c r="AI22" s="676"/>
      <c r="AJ22" s="676"/>
      <c r="AK22" s="676"/>
      <c r="AL22" s="676"/>
      <c r="AM22" s="677"/>
    </row>
    <row r="23" spans="1:40" ht="10.5" customHeight="1" thickBot="1">
      <c r="A23" s="626"/>
      <c r="B23" s="626"/>
      <c r="C23" s="626"/>
      <c r="D23" s="626"/>
      <c r="E23" s="626"/>
      <c r="F23" s="626"/>
      <c r="G23" s="626"/>
      <c r="H23" s="626"/>
      <c r="I23" s="626"/>
      <c r="J23" s="626"/>
      <c r="K23" s="626"/>
      <c r="L23" s="626"/>
      <c r="M23" s="626"/>
      <c r="N23" s="626"/>
      <c r="O23" s="626"/>
      <c r="P23" s="626"/>
      <c r="Q23" s="626"/>
      <c r="R23" s="626"/>
      <c r="S23" s="626"/>
      <c r="T23" s="626"/>
      <c r="U23" s="626"/>
      <c r="V23" s="626"/>
      <c r="W23" s="626"/>
      <c r="X23" s="626"/>
      <c r="Y23" s="626"/>
      <c r="Z23" s="626"/>
      <c r="AA23" s="626"/>
      <c r="AB23" s="626"/>
      <c r="AC23" s="626"/>
      <c r="AD23" s="626"/>
      <c r="AE23" s="626"/>
      <c r="AF23" s="626"/>
      <c r="AG23" s="626"/>
      <c r="AH23" s="626"/>
      <c r="AI23" s="626"/>
      <c r="AJ23" s="626"/>
      <c r="AK23" s="626"/>
      <c r="AL23" s="626"/>
      <c r="AM23" s="626"/>
      <c r="AN23" s="626"/>
    </row>
    <row r="24" spans="1:40" ht="24.95" customHeight="1">
      <c r="A24" s="792" t="s">
        <v>401</v>
      </c>
      <c r="B24" s="793"/>
      <c r="C24" s="793"/>
      <c r="D24" s="793"/>
      <c r="E24" s="793"/>
      <c r="F24" s="793"/>
      <c r="G24" s="793"/>
      <c r="H24" s="793"/>
      <c r="I24" s="793"/>
      <c r="J24" s="793"/>
      <c r="K24" s="793"/>
      <c r="L24" s="793"/>
      <c r="M24" s="793"/>
      <c r="N24" s="794"/>
      <c r="O24" s="521"/>
      <c r="P24" s="678" t="s">
        <v>422</v>
      </c>
      <c r="Q24" s="679"/>
      <c r="R24" s="679"/>
      <c r="S24" s="679"/>
      <c r="T24" s="679"/>
      <c r="U24" s="679"/>
      <c r="V24" s="679"/>
      <c r="W24" s="679"/>
      <c r="X24" s="679"/>
      <c r="Y24" s="679"/>
      <c r="Z24" s="679"/>
      <c r="AA24" s="679"/>
      <c r="AB24" s="679"/>
      <c r="AC24" s="679"/>
      <c r="AD24" s="679"/>
      <c r="AE24" s="679"/>
      <c r="AF24" s="679"/>
      <c r="AG24" s="679"/>
      <c r="AH24" s="679"/>
      <c r="AI24" s="679"/>
      <c r="AJ24" s="679"/>
      <c r="AK24" s="679"/>
      <c r="AL24" s="679"/>
      <c r="AM24" s="680"/>
    </row>
    <row r="25" spans="1:40" ht="24.95" customHeight="1" thickBot="1">
      <c r="A25" s="644" t="s">
        <v>402</v>
      </c>
      <c r="B25" s="645"/>
      <c r="C25" s="645"/>
      <c r="D25" s="645"/>
      <c r="E25" s="645"/>
      <c r="F25" s="645"/>
      <c r="G25" s="646"/>
      <c r="H25" s="647" t="s">
        <v>403</v>
      </c>
      <c r="I25" s="648"/>
      <c r="J25" s="648"/>
      <c r="K25" s="648"/>
      <c r="L25" s="648"/>
      <c r="M25" s="648"/>
      <c r="N25" s="649"/>
      <c r="P25" s="650" t="s">
        <v>404</v>
      </c>
      <c r="Q25" s="651"/>
      <c r="R25" s="651"/>
      <c r="S25" s="651"/>
      <c r="T25" s="651"/>
      <c r="U25" s="651"/>
      <c r="V25" s="651"/>
      <c r="W25" s="651"/>
      <c r="X25" s="651"/>
      <c r="Y25" s="652"/>
      <c r="Z25" s="653" t="s">
        <v>405</v>
      </c>
      <c r="AA25" s="651"/>
      <c r="AB25" s="651"/>
      <c r="AC25" s="651"/>
      <c r="AD25" s="651"/>
      <c r="AE25" s="651"/>
      <c r="AF25" s="651"/>
      <c r="AG25" s="651"/>
      <c r="AH25" s="652"/>
      <c r="AI25" s="654" t="s">
        <v>413</v>
      </c>
      <c r="AJ25" s="655"/>
      <c r="AK25" s="655"/>
      <c r="AL25" s="655"/>
      <c r="AM25" s="656"/>
    </row>
    <row r="26" spans="1:40" ht="18" customHeight="1" thickTop="1">
      <c r="A26" s="657" t="s">
        <v>406</v>
      </c>
      <c r="B26" s="658"/>
      <c r="C26" s="658"/>
      <c r="D26" s="658"/>
      <c r="E26" s="658"/>
      <c r="F26" s="658"/>
      <c r="G26" s="659"/>
      <c r="H26" s="660"/>
      <c r="I26" s="661"/>
      <c r="J26" s="661"/>
      <c r="K26" s="661"/>
      <c r="L26" s="661"/>
      <c r="M26" s="661"/>
      <c r="N26" s="662"/>
      <c r="P26" s="663"/>
      <c r="Q26" s="664"/>
      <c r="R26" s="664"/>
      <c r="S26" s="664"/>
      <c r="T26" s="523" t="s">
        <v>8</v>
      </c>
      <c r="U26" s="524"/>
      <c r="V26" s="523" t="s">
        <v>284</v>
      </c>
      <c r="W26" s="524"/>
      <c r="X26" s="525" t="s">
        <v>269</v>
      </c>
      <c r="Y26" s="526"/>
      <c r="Z26" s="665"/>
      <c r="AA26" s="666"/>
      <c r="AB26" s="666"/>
      <c r="AC26" s="666"/>
      <c r="AD26" s="666"/>
      <c r="AE26" s="666"/>
      <c r="AF26" s="666"/>
      <c r="AG26" s="666"/>
      <c r="AH26" s="667"/>
      <c r="AI26" s="670"/>
      <c r="AJ26" s="671"/>
      <c r="AK26" s="671"/>
      <c r="AL26" s="671"/>
      <c r="AM26" s="672"/>
    </row>
    <row r="27" spans="1:40" ht="18" customHeight="1">
      <c r="A27" s="639"/>
      <c r="B27" s="640"/>
      <c r="C27" s="640"/>
      <c r="D27" s="640"/>
      <c r="E27" s="640"/>
      <c r="F27" s="640"/>
      <c r="G27" s="641"/>
      <c r="H27" s="630"/>
      <c r="I27" s="631"/>
      <c r="J27" s="631"/>
      <c r="K27" s="631"/>
      <c r="L27" s="631"/>
      <c r="M27" s="631"/>
      <c r="N27" s="632"/>
      <c r="P27" s="522" t="s">
        <v>407</v>
      </c>
      <c r="Q27" s="643"/>
      <c r="R27" s="643"/>
      <c r="S27" s="643"/>
      <c r="T27" s="527" t="s">
        <v>8</v>
      </c>
      <c r="U27" s="528"/>
      <c r="V27" s="527" t="s">
        <v>284</v>
      </c>
      <c r="W27" s="528"/>
      <c r="X27" s="529" t="s">
        <v>269</v>
      </c>
      <c r="Y27" s="530"/>
      <c r="Z27" s="668"/>
      <c r="AA27" s="638"/>
      <c r="AB27" s="638"/>
      <c r="AC27" s="638"/>
      <c r="AD27" s="638"/>
      <c r="AE27" s="638"/>
      <c r="AF27" s="638"/>
      <c r="AG27" s="638"/>
      <c r="AH27" s="669"/>
      <c r="AI27" s="635"/>
      <c r="AJ27" s="636"/>
      <c r="AK27" s="636"/>
      <c r="AL27" s="636"/>
      <c r="AM27" s="637"/>
    </row>
    <row r="28" spans="1:40" ht="18" customHeight="1">
      <c r="A28" s="600" t="s">
        <v>406</v>
      </c>
      <c r="B28" s="601"/>
      <c r="C28" s="601"/>
      <c r="D28" s="601"/>
      <c r="E28" s="601"/>
      <c r="F28" s="601"/>
      <c r="G28" s="602"/>
      <c r="H28" s="606"/>
      <c r="I28" s="607"/>
      <c r="J28" s="607"/>
      <c r="K28" s="607"/>
      <c r="L28" s="607"/>
      <c r="M28" s="607"/>
      <c r="N28" s="608"/>
      <c r="P28" s="612"/>
      <c r="Q28" s="613"/>
      <c r="R28" s="613"/>
      <c r="S28" s="613"/>
      <c r="T28" s="531" t="s">
        <v>8</v>
      </c>
      <c r="U28" s="532"/>
      <c r="V28" s="531" t="s">
        <v>284</v>
      </c>
      <c r="W28" s="533"/>
      <c r="X28" s="534" t="s">
        <v>269</v>
      </c>
      <c r="Y28" s="535"/>
      <c r="Z28" s="614"/>
      <c r="AA28" s="615"/>
      <c r="AB28" s="615"/>
      <c r="AC28" s="615"/>
      <c r="AD28" s="615"/>
      <c r="AE28" s="615"/>
      <c r="AF28" s="615"/>
      <c r="AG28" s="615"/>
      <c r="AH28" s="616"/>
      <c r="AI28" s="620"/>
      <c r="AJ28" s="621"/>
      <c r="AK28" s="621"/>
      <c r="AL28" s="621"/>
      <c r="AM28" s="622"/>
    </row>
    <row r="29" spans="1:40" ht="18" customHeight="1">
      <c r="A29" s="627"/>
      <c r="B29" s="628"/>
      <c r="C29" s="628"/>
      <c r="D29" s="628"/>
      <c r="E29" s="628"/>
      <c r="F29" s="628"/>
      <c r="G29" s="629"/>
      <c r="H29" s="630"/>
      <c r="I29" s="631"/>
      <c r="J29" s="631"/>
      <c r="K29" s="631"/>
      <c r="L29" s="631"/>
      <c r="M29" s="631"/>
      <c r="N29" s="632"/>
      <c r="P29" s="536" t="s">
        <v>408</v>
      </c>
      <c r="Q29" s="638"/>
      <c r="R29" s="638"/>
      <c r="S29" s="638"/>
      <c r="T29" s="537" t="s">
        <v>8</v>
      </c>
      <c r="U29" s="538"/>
      <c r="V29" s="537" t="s">
        <v>284</v>
      </c>
      <c r="W29" s="539"/>
      <c r="X29" s="540" t="s">
        <v>269</v>
      </c>
      <c r="Y29" s="541"/>
      <c r="Z29" s="633"/>
      <c r="AA29" s="634"/>
      <c r="AB29" s="634"/>
      <c r="AC29" s="634"/>
      <c r="AD29" s="634"/>
      <c r="AE29" s="634"/>
      <c r="AF29" s="634"/>
      <c r="AG29" s="634"/>
      <c r="AH29" s="642"/>
      <c r="AI29" s="635"/>
      <c r="AJ29" s="636"/>
      <c r="AK29" s="636"/>
      <c r="AL29" s="636"/>
      <c r="AM29" s="637"/>
    </row>
    <row r="30" spans="1:40" ht="18" customHeight="1">
      <c r="A30" s="600" t="s">
        <v>406</v>
      </c>
      <c r="B30" s="601"/>
      <c r="C30" s="601"/>
      <c r="D30" s="601"/>
      <c r="E30" s="601"/>
      <c r="F30" s="601"/>
      <c r="G30" s="602"/>
      <c r="H30" s="606"/>
      <c r="I30" s="607"/>
      <c r="J30" s="607"/>
      <c r="K30" s="607"/>
      <c r="L30" s="607"/>
      <c r="M30" s="607"/>
      <c r="N30" s="608"/>
      <c r="P30" s="612"/>
      <c r="Q30" s="613"/>
      <c r="R30" s="613"/>
      <c r="S30" s="613"/>
      <c r="T30" s="531" t="s">
        <v>8</v>
      </c>
      <c r="U30" s="532"/>
      <c r="V30" s="527" t="s">
        <v>284</v>
      </c>
      <c r="W30" s="542"/>
      <c r="X30" s="543" t="s">
        <v>269</v>
      </c>
      <c r="Y30" s="544"/>
      <c r="Z30" s="614"/>
      <c r="AA30" s="615"/>
      <c r="AB30" s="615"/>
      <c r="AC30" s="615"/>
      <c r="AD30" s="615"/>
      <c r="AE30" s="615"/>
      <c r="AF30" s="615"/>
      <c r="AG30" s="615"/>
      <c r="AH30" s="616"/>
      <c r="AI30" s="620"/>
      <c r="AJ30" s="621"/>
      <c r="AK30" s="621"/>
      <c r="AL30" s="621"/>
      <c r="AM30" s="622"/>
    </row>
    <row r="31" spans="1:40" ht="18" customHeight="1">
      <c r="A31" s="639"/>
      <c r="B31" s="640"/>
      <c r="C31" s="640"/>
      <c r="D31" s="640"/>
      <c r="E31" s="640"/>
      <c r="F31" s="640"/>
      <c r="G31" s="641"/>
      <c r="H31" s="630"/>
      <c r="I31" s="631"/>
      <c r="J31" s="631"/>
      <c r="K31" s="631"/>
      <c r="L31" s="631"/>
      <c r="M31" s="631"/>
      <c r="N31" s="632"/>
      <c r="P31" s="536" t="s">
        <v>407</v>
      </c>
      <c r="Q31" s="638"/>
      <c r="R31" s="638"/>
      <c r="S31" s="638"/>
      <c r="T31" s="537" t="s">
        <v>8</v>
      </c>
      <c r="U31" s="538"/>
      <c r="V31" s="527" t="s">
        <v>284</v>
      </c>
      <c r="W31" s="542"/>
      <c r="X31" s="543" t="s">
        <v>269</v>
      </c>
      <c r="Y31" s="544"/>
      <c r="Z31" s="633"/>
      <c r="AA31" s="634"/>
      <c r="AB31" s="634"/>
      <c r="AC31" s="634"/>
      <c r="AD31" s="634"/>
      <c r="AE31" s="634"/>
      <c r="AF31" s="634"/>
      <c r="AG31" s="634"/>
      <c r="AH31" s="642"/>
      <c r="AI31" s="635"/>
      <c r="AJ31" s="636"/>
      <c r="AK31" s="636"/>
      <c r="AL31" s="636"/>
      <c r="AM31" s="637"/>
    </row>
    <row r="32" spans="1:40" ht="18" customHeight="1">
      <c r="A32" s="600" t="s">
        <v>406</v>
      </c>
      <c r="B32" s="601"/>
      <c r="C32" s="601"/>
      <c r="D32" s="601"/>
      <c r="E32" s="601"/>
      <c r="F32" s="601"/>
      <c r="G32" s="602"/>
      <c r="H32" s="606"/>
      <c r="I32" s="607"/>
      <c r="J32" s="607"/>
      <c r="K32" s="607"/>
      <c r="L32" s="607"/>
      <c r="M32" s="607"/>
      <c r="N32" s="608"/>
      <c r="P32" s="612"/>
      <c r="Q32" s="613"/>
      <c r="R32" s="613"/>
      <c r="S32" s="613"/>
      <c r="T32" s="531" t="s">
        <v>8</v>
      </c>
      <c r="U32" s="532"/>
      <c r="V32" s="531" t="s">
        <v>284</v>
      </c>
      <c r="W32" s="533"/>
      <c r="X32" s="534" t="s">
        <v>269</v>
      </c>
      <c r="Y32" s="535"/>
      <c r="Z32" s="614"/>
      <c r="AA32" s="615"/>
      <c r="AB32" s="615"/>
      <c r="AC32" s="615"/>
      <c r="AD32" s="615"/>
      <c r="AE32" s="615"/>
      <c r="AF32" s="615"/>
      <c r="AG32" s="615"/>
      <c r="AH32" s="615"/>
      <c r="AI32" s="620"/>
      <c r="AJ32" s="621"/>
      <c r="AK32" s="621"/>
      <c r="AL32" s="621"/>
      <c r="AM32" s="622"/>
    </row>
    <row r="33" spans="1:40" ht="18" customHeight="1">
      <c r="A33" s="627"/>
      <c r="B33" s="628"/>
      <c r="C33" s="628"/>
      <c r="D33" s="628"/>
      <c r="E33" s="628"/>
      <c r="F33" s="628"/>
      <c r="G33" s="629"/>
      <c r="H33" s="630"/>
      <c r="I33" s="631"/>
      <c r="J33" s="631"/>
      <c r="K33" s="631"/>
      <c r="L33" s="631"/>
      <c r="M33" s="631"/>
      <c r="N33" s="632"/>
      <c r="P33" s="536" t="s">
        <v>407</v>
      </c>
      <c r="Q33" s="638"/>
      <c r="R33" s="638"/>
      <c r="S33" s="638"/>
      <c r="T33" s="537" t="s">
        <v>8</v>
      </c>
      <c r="U33" s="538"/>
      <c r="V33" s="537" t="s">
        <v>284</v>
      </c>
      <c r="W33" s="539"/>
      <c r="X33" s="540" t="s">
        <v>269</v>
      </c>
      <c r="Y33" s="541"/>
      <c r="Z33" s="633"/>
      <c r="AA33" s="634"/>
      <c r="AB33" s="634"/>
      <c r="AC33" s="634"/>
      <c r="AD33" s="634"/>
      <c r="AE33" s="634"/>
      <c r="AF33" s="634"/>
      <c r="AG33" s="634"/>
      <c r="AH33" s="634"/>
      <c r="AI33" s="635"/>
      <c r="AJ33" s="636"/>
      <c r="AK33" s="636"/>
      <c r="AL33" s="636"/>
      <c r="AM33" s="637"/>
    </row>
    <row r="34" spans="1:40" ht="18" customHeight="1">
      <c r="A34" s="600" t="s">
        <v>406</v>
      </c>
      <c r="B34" s="601"/>
      <c r="C34" s="601"/>
      <c r="D34" s="601"/>
      <c r="E34" s="601"/>
      <c r="F34" s="601"/>
      <c r="G34" s="602"/>
      <c r="H34" s="606"/>
      <c r="I34" s="607"/>
      <c r="J34" s="607"/>
      <c r="K34" s="607"/>
      <c r="L34" s="607"/>
      <c r="M34" s="607"/>
      <c r="N34" s="608"/>
      <c r="P34" s="612"/>
      <c r="Q34" s="613"/>
      <c r="R34" s="613"/>
      <c r="S34" s="613"/>
      <c r="T34" s="531" t="s">
        <v>8</v>
      </c>
      <c r="U34" s="532"/>
      <c r="V34" s="531" t="s">
        <v>284</v>
      </c>
      <c r="W34" s="533"/>
      <c r="X34" s="534" t="s">
        <v>269</v>
      </c>
      <c r="Y34" s="535"/>
      <c r="Z34" s="614"/>
      <c r="AA34" s="615"/>
      <c r="AB34" s="615"/>
      <c r="AC34" s="615"/>
      <c r="AD34" s="615"/>
      <c r="AE34" s="615"/>
      <c r="AF34" s="615"/>
      <c r="AG34" s="615"/>
      <c r="AH34" s="616"/>
      <c r="AI34" s="620"/>
      <c r="AJ34" s="621"/>
      <c r="AK34" s="621"/>
      <c r="AL34" s="621"/>
      <c r="AM34" s="622"/>
    </row>
    <row r="35" spans="1:40" ht="18" customHeight="1" thickBot="1">
      <c r="A35" s="603"/>
      <c r="B35" s="604"/>
      <c r="C35" s="604"/>
      <c r="D35" s="604"/>
      <c r="E35" s="604"/>
      <c r="F35" s="604"/>
      <c r="G35" s="605"/>
      <c r="H35" s="609"/>
      <c r="I35" s="610"/>
      <c r="J35" s="610"/>
      <c r="K35" s="610"/>
      <c r="L35" s="610"/>
      <c r="M35" s="610"/>
      <c r="N35" s="611"/>
      <c r="P35" s="545" t="s">
        <v>408</v>
      </c>
      <c r="Q35" s="546"/>
      <c r="R35" s="546"/>
      <c r="S35" s="546"/>
      <c r="T35" s="547" t="s">
        <v>8</v>
      </c>
      <c r="U35" s="546"/>
      <c r="V35" s="547" t="s">
        <v>284</v>
      </c>
      <c r="W35" s="548"/>
      <c r="X35" s="549" t="s">
        <v>269</v>
      </c>
      <c r="Y35" s="550"/>
      <c r="Z35" s="617"/>
      <c r="AA35" s="618"/>
      <c r="AB35" s="618"/>
      <c r="AC35" s="618"/>
      <c r="AD35" s="618"/>
      <c r="AE35" s="618"/>
      <c r="AF35" s="618"/>
      <c r="AG35" s="618"/>
      <c r="AH35" s="619"/>
      <c r="AI35" s="623"/>
      <c r="AJ35" s="624"/>
      <c r="AK35" s="624"/>
      <c r="AL35" s="624"/>
      <c r="AM35" s="625"/>
    </row>
    <row r="36" spans="1:40" ht="13.5" customHeight="1" thickBot="1">
      <c r="A36" s="626"/>
      <c r="B36" s="626"/>
      <c r="C36" s="626"/>
      <c r="D36" s="626"/>
      <c r="E36" s="626"/>
      <c r="F36" s="626"/>
      <c r="G36" s="626"/>
      <c r="H36" s="626"/>
      <c r="I36" s="626"/>
      <c r="J36" s="626"/>
      <c r="K36" s="626"/>
      <c r="L36" s="626"/>
      <c r="M36" s="626"/>
      <c r="N36" s="626"/>
      <c r="O36" s="626"/>
      <c r="P36" s="626"/>
      <c r="Q36" s="626"/>
      <c r="R36" s="626"/>
      <c r="S36" s="626"/>
      <c r="T36" s="626"/>
      <c r="U36" s="626"/>
      <c r="V36" s="626"/>
      <c r="W36" s="626"/>
      <c r="X36" s="626"/>
      <c r="Y36" s="626"/>
      <c r="Z36" s="626"/>
      <c r="AA36" s="626"/>
      <c r="AB36" s="626"/>
      <c r="AC36" s="626"/>
      <c r="AD36" s="626"/>
      <c r="AE36" s="626"/>
      <c r="AF36" s="626"/>
      <c r="AG36" s="626"/>
      <c r="AH36" s="626"/>
      <c r="AI36" s="626"/>
      <c r="AJ36" s="626"/>
      <c r="AK36" s="626"/>
      <c r="AL36" s="626"/>
      <c r="AM36" s="626"/>
      <c r="AN36" s="626"/>
    </row>
    <row r="37" spans="1:40" ht="27" customHeight="1">
      <c r="A37" s="591" t="s">
        <v>409</v>
      </c>
      <c r="B37" s="592"/>
      <c r="C37" s="592"/>
      <c r="D37" s="592"/>
      <c r="E37" s="592"/>
      <c r="F37" s="592"/>
      <c r="G37" s="592"/>
      <c r="H37" s="592"/>
      <c r="I37" s="592"/>
      <c r="J37" s="592"/>
      <c r="K37" s="592"/>
      <c r="L37" s="592"/>
      <c r="M37" s="592"/>
      <c r="N37" s="592"/>
      <c r="O37" s="592"/>
      <c r="P37" s="592"/>
      <c r="Q37" s="592"/>
      <c r="R37" s="592"/>
      <c r="S37" s="592"/>
      <c r="T37" s="592"/>
      <c r="U37" s="592"/>
      <c r="V37" s="592"/>
      <c r="W37" s="592"/>
      <c r="X37" s="592"/>
      <c r="Y37" s="592"/>
      <c r="Z37" s="592"/>
      <c r="AA37" s="592"/>
      <c r="AB37" s="592"/>
      <c r="AC37" s="592"/>
      <c r="AD37" s="592"/>
      <c r="AE37" s="592"/>
      <c r="AF37" s="592"/>
      <c r="AG37" s="592"/>
      <c r="AH37" s="592"/>
      <c r="AI37" s="592"/>
      <c r="AJ37" s="592"/>
      <c r="AK37" s="592"/>
      <c r="AL37" s="592"/>
      <c r="AM37" s="593"/>
    </row>
    <row r="38" spans="1:40" ht="27" customHeight="1">
      <c r="A38" s="594"/>
      <c r="B38" s="595"/>
      <c r="C38" s="595"/>
      <c r="D38" s="595"/>
      <c r="E38" s="595"/>
      <c r="F38" s="595"/>
      <c r="G38" s="595"/>
      <c r="H38" s="595"/>
      <c r="I38" s="595"/>
      <c r="J38" s="595"/>
      <c r="K38" s="595"/>
      <c r="L38" s="595"/>
      <c r="M38" s="595"/>
      <c r="N38" s="595"/>
      <c r="O38" s="595"/>
      <c r="P38" s="595"/>
      <c r="Q38" s="595"/>
      <c r="R38" s="595"/>
      <c r="S38" s="595"/>
      <c r="T38" s="595"/>
      <c r="U38" s="595"/>
      <c r="V38" s="595"/>
      <c r="W38" s="595"/>
      <c r="X38" s="595"/>
      <c r="Y38" s="595"/>
      <c r="Z38" s="595"/>
      <c r="AA38" s="595"/>
      <c r="AB38" s="595"/>
      <c r="AC38" s="595"/>
      <c r="AD38" s="595"/>
      <c r="AE38" s="595"/>
      <c r="AF38" s="595"/>
      <c r="AG38" s="595"/>
      <c r="AH38" s="595"/>
      <c r="AI38" s="595"/>
      <c r="AJ38" s="595"/>
      <c r="AK38" s="595"/>
      <c r="AL38" s="595"/>
      <c r="AM38" s="596"/>
    </row>
    <row r="39" spans="1:40" ht="27" customHeight="1">
      <c r="A39" s="594"/>
      <c r="B39" s="595"/>
      <c r="C39" s="595"/>
      <c r="D39" s="595"/>
      <c r="E39" s="595"/>
      <c r="F39" s="595"/>
      <c r="G39" s="595"/>
      <c r="H39" s="595"/>
      <c r="I39" s="595"/>
      <c r="J39" s="595"/>
      <c r="K39" s="595"/>
      <c r="L39" s="595"/>
      <c r="M39" s="595"/>
      <c r="N39" s="595"/>
      <c r="O39" s="595"/>
      <c r="P39" s="595"/>
      <c r="Q39" s="595"/>
      <c r="R39" s="595"/>
      <c r="S39" s="595"/>
      <c r="T39" s="595"/>
      <c r="U39" s="595"/>
      <c r="V39" s="595"/>
      <c r="W39" s="595"/>
      <c r="X39" s="595"/>
      <c r="Y39" s="595"/>
      <c r="Z39" s="595"/>
      <c r="AA39" s="595"/>
      <c r="AB39" s="595"/>
      <c r="AC39" s="595"/>
      <c r="AD39" s="595"/>
      <c r="AE39" s="595"/>
      <c r="AF39" s="595"/>
      <c r="AG39" s="595"/>
      <c r="AH39" s="595"/>
      <c r="AI39" s="595"/>
      <c r="AJ39" s="595"/>
      <c r="AK39" s="595"/>
      <c r="AL39" s="595"/>
      <c r="AM39" s="596"/>
    </row>
    <row r="40" spans="1:40" ht="27" customHeight="1" thickBot="1">
      <c r="A40" s="551"/>
      <c r="B40" s="552"/>
      <c r="C40" s="552"/>
      <c r="D40" s="552"/>
      <c r="E40" s="552"/>
      <c r="F40" s="552"/>
      <c r="G40" s="552"/>
      <c r="H40" s="552"/>
      <c r="I40" s="552"/>
      <c r="J40" s="552"/>
      <c r="K40" s="552"/>
      <c r="L40" s="552"/>
      <c r="M40" s="552"/>
      <c r="N40" s="552"/>
      <c r="O40" s="552"/>
      <c r="P40" s="552"/>
      <c r="Q40" s="552"/>
      <c r="R40" s="552"/>
      <c r="S40" s="552"/>
      <c r="T40" s="552"/>
      <c r="U40" s="552"/>
      <c r="V40" s="552"/>
      <c r="W40" s="552"/>
      <c r="X40" s="552"/>
      <c r="Y40" s="552"/>
      <c r="Z40" s="552"/>
      <c r="AA40" s="552"/>
      <c r="AB40" s="552"/>
      <c r="AC40" s="552"/>
      <c r="AD40" s="552"/>
      <c r="AE40" s="552"/>
      <c r="AF40" s="552"/>
      <c r="AG40" s="552"/>
      <c r="AH40" s="552"/>
      <c r="AI40" s="552"/>
      <c r="AJ40" s="552"/>
      <c r="AK40" s="552"/>
      <c r="AL40" s="552"/>
      <c r="AM40" s="553"/>
    </row>
    <row r="41" spans="1:40" ht="17.25" customHeight="1">
      <c r="A41" s="554"/>
    </row>
    <row r="42" spans="1:40" ht="20.100000000000001" customHeight="1">
      <c r="B42" s="555" t="s">
        <v>410</v>
      </c>
      <c r="U42" s="597" t="s">
        <v>475</v>
      </c>
      <c r="V42" s="597"/>
      <c r="W42" s="597"/>
      <c r="X42" s="597"/>
      <c r="Y42" s="597"/>
      <c r="Z42" s="597"/>
      <c r="AA42" s="597"/>
      <c r="AB42" s="597"/>
      <c r="AC42" s="597"/>
      <c r="AD42" s="597"/>
      <c r="AE42" s="597"/>
      <c r="AF42" s="597"/>
      <c r="AG42" s="597"/>
      <c r="AH42" s="597"/>
      <c r="AI42" s="597"/>
      <c r="AJ42" s="597"/>
      <c r="AK42" s="597"/>
      <c r="AL42" s="597"/>
      <c r="AM42" s="597"/>
    </row>
    <row r="43" spans="1:40" ht="20.100000000000001" customHeight="1">
      <c r="B43" s="598"/>
      <c r="C43" s="598"/>
      <c r="D43" s="556" t="s">
        <v>419</v>
      </c>
    </row>
    <row r="44" spans="1:40" ht="20.100000000000001" customHeight="1">
      <c r="D44" s="556"/>
    </row>
    <row r="45" spans="1:40" ht="21.75" customHeight="1">
      <c r="Z45" s="492" t="s">
        <v>411</v>
      </c>
      <c r="AA45" s="557" t="s">
        <v>412</v>
      </c>
      <c r="AB45" s="558"/>
      <c r="AC45" s="558"/>
      <c r="AD45" s="558"/>
      <c r="AE45" s="558"/>
      <c r="AF45" s="558"/>
      <c r="AG45" s="558"/>
      <c r="AH45" s="558"/>
      <c r="AI45" s="558"/>
      <c r="AJ45" s="558"/>
      <c r="AK45" s="558"/>
      <c r="AL45" s="599" t="s">
        <v>270</v>
      </c>
      <c r="AM45" s="599"/>
    </row>
    <row r="46" spans="1:40" ht="21.75" customHeight="1">
      <c r="W46" s="559"/>
    </row>
    <row r="47" spans="1:40" ht="27" customHeight="1"/>
    <row r="48" spans="1:40" ht="27" customHeight="1"/>
    <row r="49" ht="27" customHeight="1"/>
    <row r="50" ht="27" customHeight="1"/>
    <row r="51" ht="27" customHeight="1"/>
    <row r="52" ht="27" customHeight="1"/>
    <row r="53" ht="27" customHeight="1"/>
    <row r="54" ht="27" customHeight="1"/>
    <row r="55" ht="27" customHeight="1"/>
    <row r="56" ht="27" customHeight="1"/>
    <row r="57" ht="27" customHeight="1"/>
    <row r="58" ht="27" customHeight="1"/>
    <row r="59" ht="27" customHeight="1"/>
  </sheetData>
  <mergeCells count="102">
    <mergeCell ref="A6:D7"/>
    <mergeCell ref="E6:G7"/>
    <mergeCell ref="U42:AM42"/>
    <mergeCell ref="A13:AM13"/>
    <mergeCell ref="AB1:AC1"/>
    <mergeCell ref="X2:Y2"/>
    <mergeCell ref="AA2:AB2"/>
    <mergeCell ref="A3:C3"/>
    <mergeCell ref="D3:AD3"/>
    <mergeCell ref="S2:V2"/>
    <mergeCell ref="Z6:AD6"/>
    <mergeCell ref="Z7:AD7"/>
    <mergeCell ref="A4:C5"/>
    <mergeCell ref="D4:AD5"/>
    <mergeCell ref="N6:Q7"/>
    <mergeCell ref="R6:Y7"/>
    <mergeCell ref="H6:I7"/>
    <mergeCell ref="J6:K7"/>
    <mergeCell ref="L6:M7"/>
    <mergeCell ref="Q2:R2"/>
    <mergeCell ref="AE9:AF9"/>
    <mergeCell ref="AG9:AM9"/>
    <mergeCell ref="D10:AD10"/>
    <mergeCell ref="AE10:AF10"/>
    <mergeCell ref="AG10:AM10"/>
    <mergeCell ref="A8:C8"/>
    <mergeCell ref="D8:AD8"/>
    <mergeCell ref="AE8:AF8"/>
    <mergeCell ref="D12:AF12"/>
    <mergeCell ref="A11:C11"/>
    <mergeCell ref="D11:AF11"/>
    <mergeCell ref="AG11:AM12"/>
    <mergeCell ref="A12:C12"/>
    <mergeCell ref="AG8:AM8"/>
    <mergeCell ref="A9:C10"/>
    <mergeCell ref="D9:AD9"/>
    <mergeCell ref="A22:C22"/>
    <mergeCell ref="J22:L22"/>
    <mergeCell ref="R22:AM22"/>
    <mergeCell ref="A23:AN23"/>
    <mergeCell ref="A24:N24"/>
    <mergeCell ref="P24:AM24"/>
    <mergeCell ref="A20:C20"/>
    <mergeCell ref="J20:L20"/>
    <mergeCell ref="R20:AM20"/>
    <mergeCell ref="A21:C21"/>
    <mergeCell ref="J21:L21"/>
    <mergeCell ref="R21:AM21"/>
    <mergeCell ref="R19:AM19"/>
    <mergeCell ref="A15:C15"/>
    <mergeCell ref="J15:L15"/>
    <mergeCell ref="R15:AI15"/>
    <mergeCell ref="AJ15:AM15"/>
    <mergeCell ref="A16:C16"/>
    <mergeCell ref="J16:L16"/>
    <mergeCell ref="R16:AI16"/>
    <mergeCell ref="AJ16:AM16"/>
    <mergeCell ref="A17:C17"/>
    <mergeCell ref="J17:L17"/>
    <mergeCell ref="R17:AI17"/>
    <mergeCell ref="AJ17:AM17"/>
    <mergeCell ref="A18:AN18"/>
    <mergeCell ref="Z28:AH29"/>
    <mergeCell ref="A30:G31"/>
    <mergeCell ref="H30:N31"/>
    <mergeCell ref="Z30:AH31"/>
    <mergeCell ref="AI28:AM29"/>
    <mergeCell ref="Q29:S29"/>
    <mergeCell ref="A25:G25"/>
    <mergeCell ref="H25:N25"/>
    <mergeCell ref="P25:Y25"/>
    <mergeCell ref="Z25:AH25"/>
    <mergeCell ref="AI25:AM25"/>
    <mergeCell ref="A26:G27"/>
    <mergeCell ref="H26:N27"/>
    <mergeCell ref="Z26:AH27"/>
    <mergeCell ref="AI26:AM27"/>
    <mergeCell ref="Q27:S27"/>
    <mergeCell ref="A28:G29"/>
    <mergeCell ref="H28:N29"/>
    <mergeCell ref="P26:S26"/>
    <mergeCell ref="P28:S28"/>
    <mergeCell ref="P30:S30"/>
    <mergeCell ref="AI30:AM31"/>
    <mergeCell ref="Q31:S31"/>
    <mergeCell ref="A32:G33"/>
    <mergeCell ref="H32:N33"/>
    <mergeCell ref="Z32:AH33"/>
    <mergeCell ref="AI32:AM33"/>
    <mergeCell ref="Q33:S33"/>
    <mergeCell ref="P32:S32"/>
    <mergeCell ref="A38:AM38"/>
    <mergeCell ref="A39:AM39"/>
    <mergeCell ref="AL45:AM45"/>
    <mergeCell ref="A34:G35"/>
    <mergeCell ref="H34:N35"/>
    <mergeCell ref="Z34:AH35"/>
    <mergeCell ref="AI34:AM35"/>
    <mergeCell ref="A36:AN36"/>
    <mergeCell ref="A37:AM37"/>
    <mergeCell ref="P34:S34"/>
    <mergeCell ref="B43:C43"/>
  </mergeCells>
  <phoneticPr fontId="3"/>
  <pageMargins left="0.7" right="0.7" top="0.75" bottom="0.75" header="0.3" footer="0.3"/>
  <pageSetup paperSize="9" scale="77"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2"/>
    <pageSetUpPr fitToPage="1"/>
  </sheetPr>
  <dimension ref="A1:D48"/>
  <sheetViews>
    <sheetView topLeftCell="A7" workbookViewId="0">
      <selection activeCell="B51" sqref="B51"/>
    </sheetView>
  </sheetViews>
  <sheetFormatPr defaultColWidth="9.125" defaultRowHeight="13.5"/>
  <cols>
    <col min="1" max="1" width="9.125" style="562"/>
    <col min="2" max="2" width="18.125" style="562" customWidth="1"/>
    <col min="3" max="3" width="48.5" style="562" customWidth="1"/>
    <col min="4" max="4" width="22.75" style="562" customWidth="1"/>
    <col min="5" max="16384" width="9.125" style="562"/>
  </cols>
  <sheetData>
    <row r="1" spans="1:4" s="560" customFormat="1" ht="20.25" customHeight="1">
      <c r="A1" s="795" t="s">
        <v>414</v>
      </c>
      <c r="B1" s="795"/>
      <c r="C1" s="795"/>
      <c r="D1" s="795"/>
    </row>
    <row r="2" spans="1:4" ht="18.75">
      <c r="A2" s="561" t="s">
        <v>415</v>
      </c>
    </row>
    <row r="3" spans="1:4" ht="20.25" customHeight="1" thickBot="1">
      <c r="A3" s="796" t="s">
        <v>476</v>
      </c>
      <c r="B3" s="796"/>
      <c r="C3" s="796"/>
      <c r="D3" s="796"/>
    </row>
    <row r="4" spans="1:4" ht="26.25" customHeight="1">
      <c r="A4" s="563" t="s">
        <v>374</v>
      </c>
      <c r="B4" s="797"/>
      <c r="C4" s="798"/>
      <c r="D4" s="799"/>
    </row>
    <row r="5" spans="1:4" ht="29.25" customHeight="1" thickBot="1">
      <c r="A5" s="564" t="s">
        <v>416</v>
      </c>
      <c r="B5" s="800"/>
      <c r="C5" s="801"/>
      <c r="D5" s="802"/>
    </row>
    <row r="7" spans="1:4" ht="16.5" customHeight="1">
      <c r="A7" s="803" t="s">
        <v>417</v>
      </c>
      <c r="B7" s="804"/>
      <c r="C7" s="807" t="s">
        <v>418</v>
      </c>
      <c r="D7" s="565" t="s">
        <v>268</v>
      </c>
    </row>
    <row r="8" spans="1:4" ht="16.5" customHeight="1" thickBot="1">
      <c r="A8" s="805"/>
      <c r="B8" s="806"/>
      <c r="C8" s="808"/>
      <c r="D8" s="566" t="s">
        <v>267</v>
      </c>
    </row>
    <row r="9" spans="1:4" ht="18" customHeight="1" thickTop="1">
      <c r="A9" s="809" t="s">
        <v>477</v>
      </c>
      <c r="B9" s="810"/>
      <c r="C9" s="811"/>
      <c r="D9" s="811"/>
    </row>
    <row r="10" spans="1:4" ht="18" customHeight="1">
      <c r="A10" s="813" t="s">
        <v>420</v>
      </c>
      <c r="B10" s="814"/>
      <c r="C10" s="812"/>
      <c r="D10" s="812"/>
    </row>
    <row r="11" spans="1:4" ht="18" customHeight="1">
      <c r="A11" s="815" t="s">
        <v>477</v>
      </c>
      <c r="B11" s="816"/>
      <c r="C11" s="817"/>
      <c r="D11" s="817"/>
    </row>
    <row r="12" spans="1:4" ht="18" customHeight="1">
      <c r="A12" s="819" t="s">
        <v>420</v>
      </c>
      <c r="B12" s="820"/>
      <c r="C12" s="818"/>
      <c r="D12" s="818"/>
    </row>
    <row r="13" spans="1:4" ht="18" customHeight="1">
      <c r="A13" s="815" t="s">
        <v>477</v>
      </c>
      <c r="B13" s="816"/>
      <c r="C13" s="817"/>
      <c r="D13" s="817"/>
    </row>
    <row r="14" spans="1:4" ht="18" customHeight="1">
      <c r="A14" s="819" t="s">
        <v>420</v>
      </c>
      <c r="B14" s="820"/>
      <c r="C14" s="818"/>
      <c r="D14" s="818"/>
    </row>
    <row r="15" spans="1:4" ht="18" customHeight="1">
      <c r="A15" s="815" t="s">
        <v>477</v>
      </c>
      <c r="B15" s="816"/>
      <c r="C15" s="817"/>
      <c r="D15" s="817"/>
    </row>
    <row r="16" spans="1:4" ht="18" customHeight="1">
      <c r="A16" s="819" t="s">
        <v>420</v>
      </c>
      <c r="B16" s="820"/>
      <c r="C16" s="818"/>
      <c r="D16" s="818"/>
    </row>
    <row r="17" spans="1:4" ht="18" customHeight="1">
      <c r="A17" s="815" t="s">
        <v>477</v>
      </c>
      <c r="B17" s="816"/>
      <c r="C17" s="817"/>
      <c r="D17" s="817"/>
    </row>
    <row r="18" spans="1:4" ht="18" customHeight="1">
      <c r="A18" s="819" t="s">
        <v>420</v>
      </c>
      <c r="B18" s="820"/>
      <c r="C18" s="818"/>
      <c r="D18" s="818"/>
    </row>
    <row r="19" spans="1:4" ht="18" customHeight="1">
      <c r="A19" s="815" t="s">
        <v>477</v>
      </c>
      <c r="B19" s="816"/>
      <c r="C19" s="817"/>
      <c r="D19" s="817"/>
    </row>
    <row r="20" spans="1:4" ht="18" customHeight="1">
      <c r="A20" s="819" t="s">
        <v>420</v>
      </c>
      <c r="B20" s="820"/>
      <c r="C20" s="818"/>
      <c r="D20" s="818"/>
    </row>
    <row r="21" spans="1:4" ht="18" customHeight="1">
      <c r="A21" s="815" t="s">
        <v>477</v>
      </c>
      <c r="B21" s="816"/>
      <c r="C21" s="817"/>
      <c r="D21" s="817"/>
    </row>
    <row r="22" spans="1:4" ht="18" customHeight="1">
      <c r="A22" s="819" t="s">
        <v>420</v>
      </c>
      <c r="B22" s="820"/>
      <c r="C22" s="818"/>
      <c r="D22" s="818"/>
    </row>
    <row r="23" spans="1:4" ht="18" customHeight="1">
      <c r="A23" s="815" t="s">
        <v>477</v>
      </c>
      <c r="B23" s="816"/>
      <c r="C23" s="817"/>
      <c r="D23" s="817"/>
    </row>
    <row r="24" spans="1:4" ht="18" customHeight="1">
      <c r="A24" s="819" t="s">
        <v>420</v>
      </c>
      <c r="B24" s="820"/>
      <c r="C24" s="818"/>
      <c r="D24" s="818"/>
    </row>
    <row r="25" spans="1:4" ht="18" customHeight="1">
      <c r="A25" s="815" t="s">
        <v>477</v>
      </c>
      <c r="B25" s="816"/>
      <c r="C25" s="817"/>
      <c r="D25" s="817"/>
    </row>
    <row r="26" spans="1:4" ht="18" customHeight="1">
      <c r="A26" s="819" t="s">
        <v>420</v>
      </c>
      <c r="B26" s="820"/>
      <c r="C26" s="818"/>
      <c r="D26" s="818"/>
    </row>
    <row r="27" spans="1:4" ht="18" customHeight="1">
      <c r="A27" s="815" t="s">
        <v>477</v>
      </c>
      <c r="B27" s="816"/>
      <c r="C27" s="817"/>
      <c r="D27" s="817"/>
    </row>
    <row r="28" spans="1:4" ht="18" customHeight="1">
      <c r="A28" s="819" t="s">
        <v>420</v>
      </c>
      <c r="B28" s="820"/>
      <c r="C28" s="818"/>
      <c r="D28" s="818"/>
    </row>
    <row r="29" spans="1:4" ht="18" customHeight="1">
      <c r="A29" s="815" t="s">
        <v>477</v>
      </c>
      <c r="B29" s="816"/>
      <c r="C29" s="817"/>
      <c r="D29" s="817"/>
    </row>
    <row r="30" spans="1:4" ht="18" customHeight="1">
      <c r="A30" s="819" t="s">
        <v>420</v>
      </c>
      <c r="B30" s="820"/>
      <c r="C30" s="818"/>
      <c r="D30" s="818"/>
    </row>
    <row r="31" spans="1:4" ht="18" customHeight="1">
      <c r="A31" s="815" t="s">
        <v>477</v>
      </c>
      <c r="B31" s="816"/>
      <c r="C31" s="817"/>
      <c r="D31" s="817"/>
    </row>
    <row r="32" spans="1:4" ht="18" customHeight="1">
      <c r="A32" s="819" t="s">
        <v>420</v>
      </c>
      <c r="B32" s="820"/>
      <c r="C32" s="818"/>
      <c r="D32" s="818"/>
    </row>
    <row r="33" spans="1:4" ht="18" customHeight="1">
      <c r="A33" s="815" t="s">
        <v>477</v>
      </c>
      <c r="B33" s="816"/>
      <c r="C33" s="817"/>
      <c r="D33" s="817"/>
    </row>
    <row r="34" spans="1:4" ht="18" customHeight="1">
      <c r="A34" s="819" t="s">
        <v>420</v>
      </c>
      <c r="B34" s="820"/>
      <c r="C34" s="818"/>
      <c r="D34" s="818"/>
    </row>
    <row r="35" spans="1:4" ht="18" customHeight="1">
      <c r="A35" s="815" t="s">
        <v>477</v>
      </c>
      <c r="B35" s="816"/>
      <c r="C35" s="817"/>
      <c r="D35" s="817"/>
    </row>
    <row r="36" spans="1:4" ht="18" customHeight="1">
      <c r="A36" s="819" t="s">
        <v>420</v>
      </c>
      <c r="B36" s="820"/>
      <c r="C36" s="818"/>
      <c r="D36" s="818"/>
    </row>
    <row r="37" spans="1:4" ht="18" customHeight="1">
      <c r="A37" s="815" t="s">
        <v>477</v>
      </c>
      <c r="B37" s="816"/>
      <c r="C37" s="817"/>
      <c r="D37" s="817"/>
    </row>
    <row r="38" spans="1:4" ht="18" customHeight="1">
      <c r="A38" s="819" t="s">
        <v>420</v>
      </c>
      <c r="B38" s="820"/>
      <c r="C38" s="818"/>
      <c r="D38" s="818"/>
    </row>
    <row r="39" spans="1:4" ht="18" customHeight="1">
      <c r="A39" s="815" t="s">
        <v>477</v>
      </c>
      <c r="B39" s="816"/>
      <c r="C39" s="817"/>
      <c r="D39" s="817"/>
    </row>
    <row r="40" spans="1:4" ht="18" customHeight="1">
      <c r="A40" s="819" t="s">
        <v>420</v>
      </c>
      <c r="B40" s="820"/>
      <c r="C40" s="818"/>
      <c r="D40" s="818"/>
    </row>
    <row r="41" spans="1:4" ht="18" customHeight="1">
      <c r="A41" s="815" t="s">
        <v>477</v>
      </c>
      <c r="B41" s="816"/>
      <c r="C41" s="817"/>
      <c r="D41" s="817"/>
    </row>
    <row r="42" spans="1:4" ht="18" customHeight="1">
      <c r="A42" s="819" t="s">
        <v>420</v>
      </c>
      <c r="B42" s="820"/>
      <c r="C42" s="818"/>
      <c r="D42" s="818"/>
    </row>
    <row r="43" spans="1:4" ht="18" customHeight="1">
      <c r="A43" s="815" t="s">
        <v>477</v>
      </c>
      <c r="B43" s="816"/>
      <c r="C43" s="817"/>
      <c r="D43" s="817"/>
    </row>
    <row r="44" spans="1:4" ht="18" customHeight="1">
      <c r="A44" s="819" t="s">
        <v>420</v>
      </c>
      <c r="B44" s="820"/>
      <c r="C44" s="818"/>
      <c r="D44" s="818"/>
    </row>
    <row r="45" spans="1:4" ht="18" customHeight="1">
      <c r="A45" s="815" t="s">
        <v>477</v>
      </c>
      <c r="B45" s="816"/>
      <c r="C45" s="817"/>
      <c r="D45" s="817"/>
    </row>
    <row r="46" spans="1:4" ht="18" customHeight="1">
      <c r="A46" s="819" t="s">
        <v>420</v>
      </c>
      <c r="B46" s="820"/>
      <c r="C46" s="818"/>
      <c r="D46" s="818"/>
    </row>
    <row r="47" spans="1:4" ht="18" customHeight="1">
      <c r="A47" s="815" t="s">
        <v>477</v>
      </c>
      <c r="B47" s="816"/>
      <c r="C47" s="817"/>
      <c r="D47" s="817"/>
    </row>
    <row r="48" spans="1:4" ht="18" customHeight="1">
      <c r="A48" s="819" t="s">
        <v>420</v>
      </c>
      <c r="B48" s="820"/>
      <c r="C48" s="818"/>
      <c r="D48" s="818"/>
    </row>
  </sheetData>
  <mergeCells count="86">
    <mergeCell ref="A45:B45"/>
    <mergeCell ref="C45:C46"/>
    <mergeCell ref="D45:D46"/>
    <mergeCell ref="A46:B46"/>
    <mergeCell ref="A47:B47"/>
    <mergeCell ref="C47:C48"/>
    <mergeCell ref="D47:D48"/>
    <mergeCell ref="A48:B48"/>
    <mergeCell ref="A41:B41"/>
    <mergeCell ref="C41:C42"/>
    <mergeCell ref="D41:D42"/>
    <mergeCell ref="A42:B42"/>
    <mergeCell ref="A43:B43"/>
    <mergeCell ref="C43:C44"/>
    <mergeCell ref="D43:D44"/>
    <mergeCell ref="A44:B44"/>
    <mergeCell ref="A37:B37"/>
    <mergeCell ref="C37:C38"/>
    <mergeCell ref="D37:D38"/>
    <mergeCell ref="A38:B38"/>
    <mergeCell ref="A39:B39"/>
    <mergeCell ref="C39:C40"/>
    <mergeCell ref="D39:D40"/>
    <mergeCell ref="A40:B40"/>
    <mergeCell ref="A33:B33"/>
    <mergeCell ref="C33:C34"/>
    <mergeCell ref="D33:D34"/>
    <mergeCell ref="A34:B34"/>
    <mergeCell ref="A35:B35"/>
    <mergeCell ref="C35:C36"/>
    <mergeCell ref="D35:D36"/>
    <mergeCell ref="A36:B36"/>
    <mergeCell ref="A29:B29"/>
    <mergeCell ref="C29:C30"/>
    <mergeCell ref="D29:D30"/>
    <mergeCell ref="A30:B30"/>
    <mergeCell ref="A31:B31"/>
    <mergeCell ref="C31:C32"/>
    <mergeCell ref="D31:D32"/>
    <mergeCell ref="A32:B32"/>
    <mergeCell ref="A25:B25"/>
    <mergeCell ref="C25:C26"/>
    <mergeCell ref="D25:D26"/>
    <mergeCell ref="A26:B26"/>
    <mergeCell ref="A27:B27"/>
    <mergeCell ref="C27:C28"/>
    <mergeCell ref="D27:D28"/>
    <mergeCell ref="A28:B28"/>
    <mergeCell ref="A21:B21"/>
    <mergeCell ref="C21:C22"/>
    <mergeCell ref="D21:D22"/>
    <mergeCell ref="A22:B22"/>
    <mergeCell ref="A23:B23"/>
    <mergeCell ref="C23:C24"/>
    <mergeCell ref="D23:D24"/>
    <mergeCell ref="A24:B24"/>
    <mergeCell ref="A17:B17"/>
    <mergeCell ref="C17:C18"/>
    <mergeCell ref="D17:D18"/>
    <mergeCell ref="A18:B18"/>
    <mergeCell ref="A19:B19"/>
    <mergeCell ref="C19:C20"/>
    <mergeCell ref="D19:D20"/>
    <mergeCell ref="A20:B20"/>
    <mergeCell ref="A13:B13"/>
    <mergeCell ref="C13:C14"/>
    <mergeCell ref="D13:D14"/>
    <mergeCell ref="A14:B14"/>
    <mergeCell ref="A15:B15"/>
    <mergeCell ref="C15:C16"/>
    <mergeCell ref="D15:D16"/>
    <mergeCell ref="A16:B16"/>
    <mergeCell ref="A9:B9"/>
    <mergeCell ref="C9:C10"/>
    <mergeCell ref="D9:D10"/>
    <mergeCell ref="A10:B10"/>
    <mergeCell ref="A11:B11"/>
    <mergeCell ref="C11:C12"/>
    <mergeCell ref="D11:D12"/>
    <mergeCell ref="A12:B12"/>
    <mergeCell ref="A1:D1"/>
    <mergeCell ref="A3:D3"/>
    <mergeCell ref="B4:D4"/>
    <mergeCell ref="B5:D5"/>
    <mergeCell ref="A7:B8"/>
    <mergeCell ref="C7:C8"/>
  </mergeCells>
  <phoneticPr fontId="3"/>
  <pageMargins left="0.7" right="0.7" top="0.75" bottom="0.75" header="0.3" footer="0.3"/>
  <pageSetup paperSize="9" scale="9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0"/>
  <sheetViews>
    <sheetView workbookViewId="0">
      <selection activeCell="U11" sqref="U11"/>
    </sheetView>
  </sheetViews>
  <sheetFormatPr defaultRowHeight="13.5"/>
  <cols>
    <col min="1" max="4" width="4.75" style="568" customWidth="1"/>
    <col min="5" max="5" width="3.875" style="568" customWidth="1"/>
    <col min="6" max="7" width="4.75" style="568" customWidth="1"/>
    <col min="8" max="8" width="4.25" style="568" customWidth="1"/>
    <col min="9" max="9" width="4.75" style="568" customWidth="1"/>
    <col min="10" max="10" width="9.25" style="568" customWidth="1"/>
    <col min="11" max="11" width="4.625" style="568" customWidth="1"/>
    <col min="12" max="12" width="5.125" style="568" customWidth="1"/>
    <col min="13" max="13" width="5.625" style="568" customWidth="1"/>
    <col min="14" max="14" width="4.125" style="568" customWidth="1"/>
    <col min="15" max="16" width="8.625" style="568" customWidth="1"/>
    <col min="17" max="18" width="7.375" style="568" customWidth="1"/>
    <col min="19" max="256" width="9" style="568"/>
    <col min="257" max="260" width="4.75" style="568" customWidth="1"/>
    <col min="261" max="261" width="3.875" style="568" customWidth="1"/>
    <col min="262" max="263" width="4.75" style="568" customWidth="1"/>
    <col min="264" max="264" width="4.25" style="568" customWidth="1"/>
    <col min="265" max="265" width="4.75" style="568" customWidth="1"/>
    <col min="266" max="266" width="9.25" style="568" customWidth="1"/>
    <col min="267" max="267" width="4.625" style="568" customWidth="1"/>
    <col min="268" max="268" width="5.125" style="568" customWidth="1"/>
    <col min="269" max="269" width="5.625" style="568" customWidth="1"/>
    <col min="270" max="270" width="4.125" style="568" customWidth="1"/>
    <col min="271" max="272" width="8.625" style="568" customWidth="1"/>
    <col min="273" max="274" width="7.375" style="568" customWidth="1"/>
    <col min="275" max="512" width="9" style="568"/>
    <col min="513" max="516" width="4.75" style="568" customWidth="1"/>
    <col min="517" max="517" width="3.875" style="568" customWidth="1"/>
    <col min="518" max="519" width="4.75" style="568" customWidth="1"/>
    <col min="520" max="520" width="4.25" style="568" customWidth="1"/>
    <col min="521" max="521" width="4.75" style="568" customWidth="1"/>
    <col min="522" max="522" width="9.25" style="568" customWidth="1"/>
    <col min="523" max="523" width="4.625" style="568" customWidth="1"/>
    <col min="524" max="524" width="5.125" style="568" customWidth="1"/>
    <col min="525" max="525" width="5.625" style="568" customWidth="1"/>
    <col min="526" max="526" width="4.125" style="568" customWidth="1"/>
    <col min="527" max="528" width="8.625" style="568" customWidth="1"/>
    <col min="529" max="530" width="7.375" style="568" customWidth="1"/>
    <col min="531" max="768" width="9" style="568"/>
    <col min="769" max="772" width="4.75" style="568" customWidth="1"/>
    <col min="773" max="773" width="3.875" style="568" customWidth="1"/>
    <col min="774" max="775" width="4.75" style="568" customWidth="1"/>
    <col min="776" max="776" width="4.25" style="568" customWidth="1"/>
    <col min="777" max="777" width="4.75" style="568" customWidth="1"/>
    <col min="778" max="778" width="9.25" style="568" customWidth="1"/>
    <col min="779" max="779" width="4.625" style="568" customWidth="1"/>
    <col min="780" max="780" width="5.125" style="568" customWidth="1"/>
    <col min="781" max="781" width="5.625" style="568" customWidth="1"/>
    <col min="782" max="782" width="4.125" style="568" customWidth="1"/>
    <col min="783" max="784" width="8.625" style="568" customWidth="1"/>
    <col min="785" max="786" width="7.375" style="568" customWidth="1"/>
    <col min="787" max="1024" width="9" style="568"/>
    <col min="1025" max="1028" width="4.75" style="568" customWidth="1"/>
    <col min="1029" max="1029" width="3.875" style="568" customWidth="1"/>
    <col min="1030" max="1031" width="4.75" style="568" customWidth="1"/>
    <col min="1032" max="1032" width="4.25" style="568" customWidth="1"/>
    <col min="1033" max="1033" width="4.75" style="568" customWidth="1"/>
    <col min="1034" max="1034" width="9.25" style="568" customWidth="1"/>
    <col min="1035" max="1035" width="4.625" style="568" customWidth="1"/>
    <col min="1036" max="1036" width="5.125" style="568" customWidth="1"/>
    <col min="1037" max="1037" width="5.625" style="568" customWidth="1"/>
    <col min="1038" max="1038" width="4.125" style="568" customWidth="1"/>
    <col min="1039" max="1040" width="8.625" style="568" customWidth="1"/>
    <col min="1041" max="1042" width="7.375" style="568" customWidth="1"/>
    <col min="1043" max="1280" width="9" style="568"/>
    <col min="1281" max="1284" width="4.75" style="568" customWidth="1"/>
    <col min="1285" max="1285" width="3.875" style="568" customWidth="1"/>
    <col min="1286" max="1287" width="4.75" style="568" customWidth="1"/>
    <col min="1288" max="1288" width="4.25" style="568" customWidth="1"/>
    <col min="1289" max="1289" width="4.75" style="568" customWidth="1"/>
    <col min="1290" max="1290" width="9.25" style="568" customWidth="1"/>
    <col min="1291" max="1291" width="4.625" style="568" customWidth="1"/>
    <col min="1292" max="1292" width="5.125" style="568" customWidth="1"/>
    <col min="1293" max="1293" width="5.625" style="568" customWidth="1"/>
    <col min="1294" max="1294" width="4.125" style="568" customWidth="1"/>
    <col min="1295" max="1296" width="8.625" style="568" customWidth="1"/>
    <col min="1297" max="1298" width="7.375" style="568" customWidth="1"/>
    <col min="1299" max="1536" width="9" style="568"/>
    <col min="1537" max="1540" width="4.75" style="568" customWidth="1"/>
    <col min="1541" max="1541" width="3.875" style="568" customWidth="1"/>
    <col min="1542" max="1543" width="4.75" style="568" customWidth="1"/>
    <col min="1544" max="1544" width="4.25" style="568" customWidth="1"/>
    <col min="1545" max="1545" width="4.75" style="568" customWidth="1"/>
    <col min="1546" max="1546" width="9.25" style="568" customWidth="1"/>
    <col min="1547" max="1547" width="4.625" style="568" customWidth="1"/>
    <col min="1548" max="1548" width="5.125" style="568" customWidth="1"/>
    <col min="1549" max="1549" width="5.625" style="568" customWidth="1"/>
    <col min="1550" max="1550" width="4.125" style="568" customWidth="1"/>
    <col min="1551" max="1552" width="8.625" style="568" customWidth="1"/>
    <col min="1553" max="1554" width="7.375" style="568" customWidth="1"/>
    <col min="1555" max="1792" width="9" style="568"/>
    <col min="1793" max="1796" width="4.75" style="568" customWidth="1"/>
    <col min="1797" max="1797" width="3.875" style="568" customWidth="1"/>
    <col min="1798" max="1799" width="4.75" style="568" customWidth="1"/>
    <col min="1800" max="1800" width="4.25" style="568" customWidth="1"/>
    <col min="1801" max="1801" width="4.75" style="568" customWidth="1"/>
    <col min="1802" max="1802" width="9.25" style="568" customWidth="1"/>
    <col min="1803" max="1803" width="4.625" style="568" customWidth="1"/>
    <col min="1804" max="1804" width="5.125" style="568" customWidth="1"/>
    <col min="1805" max="1805" width="5.625" style="568" customWidth="1"/>
    <col min="1806" max="1806" width="4.125" style="568" customWidth="1"/>
    <col min="1807" max="1808" width="8.625" style="568" customWidth="1"/>
    <col min="1809" max="1810" width="7.375" style="568" customWidth="1"/>
    <col min="1811" max="2048" width="9" style="568"/>
    <col min="2049" max="2052" width="4.75" style="568" customWidth="1"/>
    <col min="2053" max="2053" width="3.875" style="568" customWidth="1"/>
    <col min="2054" max="2055" width="4.75" style="568" customWidth="1"/>
    <col min="2056" max="2056" width="4.25" style="568" customWidth="1"/>
    <col min="2057" max="2057" width="4.75" style="568" customWidth="1"/>
    <col min="2058" max="2058" width="9.25" style="568" customWidth="1"/>
    <col min="2059" max="2059" width="4.625" style="568" customWidth="1"/>
    <col min="2060" max="2060" width="5.125" style="568" customWidth="1"/>
    <col min="2061" max="2061" width="5.625" style="568" customWidth="1"/>
    <col min="2062" max="2062" width="4.125" style="568" customWidth="1"/>
    <col min="2063" max="2064" width="8.625" style="568" customWidth="1"/>
    <col min="2065" max="2066" width="7.375" style="568" customWidth="1"/>
    <col min="2067" max="2304" width="9" style="568"/>
    <col min="2305" max="2308" width="4.75" style="568" customWidth="1"/>
    <col min="2309" max="2309" width="3.875" style="568" customWidth="1"/>
    <col min="2310" max="2311" width="4.75" style="568" customWidth="1"/>
    <col min="2312" max="2312" width="4.25" style="568" customWidth="1"/>
    <col min="2313" max="2313" width="4.75" style="568" customWidth="1"/>
    <col min="2314" max="2314" width="9.25" style="568" customWidth="1"/>
    <col min="2315" max="2315" width="4.625" style="568" customWidth="1"/>
    <col min="2316" max="2316" width="5.125" style="568" customWidth="1"/>
    <col min="2317" max="2317" width="5.625" style="568" customWidth="1"/>
    <col min="2318" max="2318" width="4.125" style="568" customWidth="1"/>
    <col min="2319" max="2320" width="8.625" style="568" customWidth="1"/>
    <col min="2321" max="2322" width="7.375" style="568" customWidth="1"/>
    <col min="2323" max="2560" width="9" style="568"/>
    <col min="2561" max="2564" width="4.75" style="568" customWidth="1"/>
    <col min="2565" max="2565" width="3.875" style="568" customWidth="1"/>
    <col min="2566" max="2567" width="4.75" style="568" customWidth="1"/>
    <col min="2568" max="2568" width="4.25" style="568" customWidth="1"/>
    <col min="2569" max="2569" width="4.75" style="568" customWidth="1"/>
    <col min="2570" max="2570" width="9.25" style="568" customWidth="1"/>
    <col min="2571" max="2571" width="4.625" style="568" customWidth="1"/>
    <col min="2572" max="2572" width="5.125" style="568" customWidth="1"/>
    <col min="2573" max="2573" width="5.625" style="568" customWidth="1"/>
    <col min="2574" max="2574" width="4.125" style="568" customWidth="1"/>
    <col min="2575" max="2576" width="8.625" style="568" customWidth="1"/>
    <col min="2577" max="2578" width="7.375" style="568" customWidth="1"/>
    <col min="2579" max="2816" width="9" style="568"/>
    <col min="2817" max="2820" width="4.75" style="568" customWidth="1"/>
    <col min="2821" max="2821" width="3.875" style="568" customWidth="1"/>
    <col min="2822" max="2823" width="4.75" style="568" customWidth="1"/>
    <col min="2824" max="2824" width="4.25" style="568" customWidth="1"/>
    <col min="2825" max="2825" width="4.75" style="568" customWidth="1"/>
    <col min="2826" max="2826" width="9.25" style="568" customWidth="1"/>
    <col min="2827" max="2827" width="4.625" style="568" customWidth="1"/>
    <col min="2828" max="2828" width="5.125" style="568" customWidth="1"/>
    <col min="2829" max="2829" width="5.625" style="568" customWidth="1"/>
    <col min="2830" max="2830" width="4.125" style="568" customWidth="1"/>
    <col min="2831" max="2832" width="8.625" style="568" customWidth="1"/>
    <col min="2833" max="2834" width="7.375" style="568" customWidth="1"/>
    <col min="2835" max="3072" width="9" style="568"/>
    <col min="3073" max="3076" width="4.75" style="568" customWidth="1"/>
    <col min="3077" max="3077" width="3.875" style="568" customWidth="1"/>
    <col min="3078" max="3079" width="4.75" style="568" customWidth="1"/>
    <col min="3080" max="3080" width="4.25" style="568" customWidth="1"/>
    <col min="3081" max="3081" width="4.75" style="568" customWidth="1"/>
    <col min="3082" max="3082" width="9.25" style="568" customWidth="1"/>
    <col min="3083" max="3083" width="4.625" style="568" customWidth="1"/>
    <col min="3084" max="3084" width="5.125" style="568" customWidth="1"/>
    <col min="3085" max="3085" width="5.625" style="568" customWidth="1"/>
    <col min="3086" max="3086" width="4.125" style="568" customWidth="1"/>
    <col min="3087" max="3088" width="8.625" style="568" customWidth="1"/>
    <col min="3089" max="3090" width="7.375" style="568" customWidth="1"/>
    <col min="3091" max="3328" width="9" style="568"/>
    <col min="3329" max="3332" width="4.75" style="568" customWidth="1"/>
    <col min="3333" max="3333" width="3.875" style="568" customWidth="1"/>
    <col min="3334" max="3335" width="4.75" style="568" customWidth="1"/>
    <col min="3336" max="3336" width="4.25" style="568" customWidth="1"/>
    <col min="3337" max="3337" width="4.75" style="568" customWidth="1"/>
    <col min="3338" max="3338" width="9.25" style="568" customWidth="1"/>
    <col min="3339" max="3339" width="4.625" style="568" customWidth="1"/>
    <col min="3340" max="3340" width="5.125" style="568" customWidth="1"/>
    <col min="3341" max="3341" width="5.625" style="568" customWidth="1"/>
    <col min="3342" max="3342" width="4.125" style="568" customWidth="1"/>
    <col min="3343" max="3344" width="8.625" style="568" customWidth="1"/>
    <col min="3345" max="3346" width="7.375" style="568" customWidth="1"/>
    <col min="3347" max="3584" width="9" style="568"/>
    <col min="3585" max="3588" width="4.75" style="568" customWidth="1"/>
    <col min="3589" max="3589" width="3.875" style="568" customWidth="1"/>
    <col min="3590" max="3591" width="4.75" style="568" customWidth="1"/>
    <col min="3592" max="3592" width="4.25" style="568" customWidth="1"/>
    <col min="3593" max="3593" width="4.75" style="568" customWidth="1"/>
    <col min="3594" max="3594" width="9.25" style="568" customWidth="1"/>
    <col min="3595" max="3595" width="4.625" style="568" customWidth="1"/>
    <col min="3596" max="3596" width="5.125" style="568" customWidth="1"/>
    <col min="3597" max="3597" width="5.625" style="568" customWidth="1"/>
    <col min="3598" max="3598" width="4.125" style="568" customWidth="1"/>
    <col min="3599" max="3600" width="8.625" style="568" customWidth="1"/>
    <col min="3601" max="3602" width="7.375" style="568" customWidth="1"/>
    <col min="3603" max="3840" width="9" style="568"/>
    <col min="3841" max="3844" width="4.75" style="568" customWidth="1"/>
    <col min="3845" max="3845" width="3.875" style="568" customWidth="1"/>
    <col min="3846" max="3847" width="4.75" style="568" customWidth="1"/>
    <col min="3848" max="3848" width="4.25" style="568" customWidth="1"/>
    <col min="3849" max="3849" width="4.75" style="568" customWidth="1"/>
    <col min="3850" max="3850" width="9.25" style="568" customWidth="1"/>
    <col min="3851" max="3851" width="4.625" style="568" customWidth="1"/>
    <col min="3852" max="3852" width="5.125" style="568" customWidth="1"/>
    <col min="3853" max="3853" width="5.625" style="568" customWidth="1"/>
    <col min="3854" max="3854" width="4.125" style="568" customWidth="1"/>
    <col min="3855" max="3856" width="8.625" style="568" customWidth="1"/>
    <col min="3857" max="3858" width="7.375" style="568" customWidth="1"/>
    <col min="3859" max="4096" width="9" style="568"/>
    <col min="4097" max="4100" width="4.75" style="568" customWidth="1"/>
    <col min="4101" max="4101" width="3.875" style="568" customWidth="1"/>
    <col min="4102" max="4103" width="4.75" style="568" customWidth="1"/>
    <col min="4104" max="4104" width="4.25" style="568" customWidth="1"/>
    <col min="4105" max="4105" width="4.75" style="568" customWidth="1"/>
    <col min="4106" max="4106" width="9.25" style="568" customWidth="1"/>
    <col min="4107" max="4107" width="4.625" style="568" customWidth="1"/>
    <col min="4108" max="4108" width="5.125" style="568" customWidth="1"/>
    <col min="4109" max="4109" width="5.625" style="568" customWidth="1"/>
    <col min="4110" max="4110" width="4.125" style="568" customWidth="1"/>
    <col min="4111" max="4112" width="8.625" style="568" customWidth="1"/>
    <col min="4113" max="4114" width="7.375" style="568" customWidth="1"/>
    <col min="4115" max="4352" width="9" style="568"/>
    <col min="4353" max="4356" width="4.75" style="568" customWidth="1"/>
    <col min="4357" max="4357" width="3.875" style="568" customWidth="1"/>
    <col min="4358" max="4359" width="4.75" style="568" customWidth="1"/>
    <col min="4360" max="4360" width="4.25" style="568" customWidth="1"/>
    <col min="4361" max="4361" width="4.75" style="568" customWidth="1"/>
    <col min="4362" max="4362" width="9.25" style="568" customWidth="1"/>
    <col min="4363" max="4363" width="4.625" style="568" customWidth="1"/>
    <col min="4364" max="4364" width="5.125" style="568" customWidth="1"/>
    <col min="4365" max="4365" width="5.625" style="568" customWidth="1"/>
    <col min="4366" max="4366" width="4.125" style="568" customWidth="1"/>
    <col min="4367" max="4368" width="8.625" style="568" customWidth="1"/>
    <col min="4369" max="4370" width="7.375" style="568" customWidth="1"/>
    <col min="4371" max="4608" width="9" style="568"/>
    <col min="4609" max="4612" width="4.75" style="568" customWidth="1"/>
    <col min="4613" max="4613" width="3.875" style="568" customWidth="1"/>
    <col min="4614" max="4615" width="4.75" style="568" customWidth="1"/>
    <col min="4616" max="4616" width="4.25" style="568" customWidth="1"/>
    <col min="4617" max="4617" width="4.75" style="568" customWidth="1"/>
    <col min="4618" max="4618" width="9.25" style="568" customWidth="1"/>
    <col min="4619" max="4619" width="4.625" style="568" customWidth="1"/>
    <col min="4620" max="4620" width="5.125" style="568" customWidth="1"/>
    <col min="4621" max="4621" width="5.625" style="568" customWidth="1"/>
    <col min="4622" max="4622" width="4.125" style="568" customWidth="1"/>
    <col min="4623" max="4624" width="8.625" style="568" customWidth="1"/>
    <col min="4625" max="4626" width="7.375" style="568" customWidth="1"/>
    <col min="4627" max="4864" width="9" style="568"/>
    <col min="4865" max="4868" width="4.75" style="568" customWidth="1"/>
    <col min="4869" max="4869" width="3.875" style="568" customWidth="1"/>
    <col min="4870" max="4871" width="4.75" style="568" customWidth="1"/>
    <col min="4872" max="4872" width="4.25" style="568" customWidth="1"/>
    <col min="4873" max="4873" width="4.75" style="568" customWidth="1"/>
    <col min="4874" max="4874" width="9.25" style="568" customWidth="1"/>
    <col min="4875" max="4875" width="4.625" style="568" customWidth="1"/>
    <col min="4876" max="4876" width="5.125" style="568" customWidth="1"/>
    <col min="4877" max="4877" width="5.625" style="568" customWidth="1"/>
    <col min="4878" max="4878" width="4.125" style="568" customWidth="1"/>
    <col min="4879" max="4880" width="8.625" style="568" customWidth="1"/>
    <col min="4881" max="4882" width="7.375" style="568" customWidth="1"/>
    <col min="4883" max="5120" width="9" style="568"/>
    <col min="5121" max="5124" width="4.75" style="568" customWidth="1"/>
    <col min="5125" max="5125" width="3.875" style="568" customWidth="1"/>
    <col min="5126" max="5127" width="4.75" style="568" customWidth="1"/>
    <col min="5128" max="5128" width="4.25" style="568" customWidth="1"/>
    <col min="5129" max="5129" width="4.75" style="568" customWidth="1"/>
    <col min="5130" max="5130" width="9.25" style="568" customWidth="1"/>
    <col min="5131" max="5131" width="4.625" style="568" customWidth="1"/>
    <col min="5132" max="5132" width="5.125" style="568" customWidth="1"/>
    <col min="5133" max="5133" width="5.625" style="568" customWidth="1"/>
    <col min="5134" max="5134" width="4.125" style="568" customWidth="1"/>
    <col min="5135" max="5136" width="8.625" style="568" customWidth="1"/>
    <col min="5137" max="5138" width="7.375" style="568" customWidth="1"/>
    <col min="5139" max="5376" width="9" style="568"/>
    <col min="5377" max="5380" width="4.75" style="568" customWidth="1"/>
    <col min="5381" max="5381" width="3.875" style="568" customWidth="1"/>
    <col min="5382" max="5383" width="4.75" style="568" customWidth="1"/>
    <col min="5384" max="5384" width="4.25" style="568" customWidth="1"/>
    <col min="5385" max="5385" width="4.75" style="568" customWidth="1"/>
    <col min="5386" max="5386" width="9.25" style="568" customWidth="1"/>
    <col min="5387" max="5387" width="4.625" style="568" customWidth="1"/>
    <col min="5388" max="5388" width="5.125" style="568" customWidth="1"/>
    <col min="5389" max="5389" width="5.625" style="568" customWidth="1"/>
    <col min="5390" max="5390" width="4.125" style="568" customWidth="1"/>
    <col min="5391" max="5392" width="8.625" style="568" customWidth="1"/>
    <col min="5393" max="5394" width="7.375" style="568" customWidth="1"/>
    <col min="5395" max="5632" width="9" style="568"/>
    <col min="5633" max="5636" width="4.75" style="568" customWidth="1"/>
    <col min="5637" max="5637" width="3.875" style="568" customWidth="1"/>
    <col min="5638" max="5639" width="4.75" style="568" customWidth="1"/>
    <col min="5640" max="5640" width="4.25" style="568" customWidth="1"/>
    <col min="5641" max="5641" width="4.75" style="568" customWidth="1"/>
    <col min="5642" max="5642" width="9.25" style="568" customWidth="1"/>
    <col min="5643" max="5643" width="4.625" style="568" customWidth="1"/>
    <col min="5644" max="5644" width="5.125" style="568" customWidth="1"/>
    <col min="5645" max="5645" width="5.625" style="568" customWidth="1"/>
    <col min="5646" max="5646" width="4.125" style="568" customWidth="1"/>
    <col min="5647" max="5648" width="8.625" style="568" customWidth="1"/>
    <col min="5649" max="5650" width="7.375" style="568" customWidth="1"/>
    <col min="5651" max="5888" width="9" style="568"/>
    <col min="5889" max="5892" width="4.75" style="568" customWidth="1"/>
    <col min="5893" max="5893" width="3.875" style="568" customWidth="1"/>
    <col min="5894" max="5895" width="4.75" style="568" customWidth="1"/>
    <col min="5896" max="5896" width="4.25" style="568" customWidth="1"/>
    <col min="5897" max="5897" width="4.75" style="568" customWidth="1"/>
    <col min="5898" max="5898" width="9.25" style="568" customWidth="1"/>
    <col min="5899" max="5899" width="4.625" style="568" customWidth="1"/>
    <col min="5900" max="5900" width="5.125" style="568" customWidth="1"/>
    <col min="5901" max="5901" width="5.625" style="568" customWidth="1"/>
    <col min="5902" max="5902" width="4.125" style="568" customWidth="1"/>
    <col min="5903" max="5904" width="8.625" style="568" customWidth="1"/>
    <col min="5905" max="5906" width="7.375" style="568" customWidth="1"/>
    <col min="5907" max="6144" width="9" style="568"/>
    <col min="6145" max="6148" width="4.75" style="568" customWidth="1"/>
    <col min="6149" max="6149" width="3.875" style="568" customWidth="1"/>
    <col min="6150" max="6151" width="4.75" style="568" customWidth="1"/>
    <col min="6152" max="6152" width="4.25" style="568" customWidth="1"/>
    <col min="6153" max="6153" width="4.75" style="568" customWidth="1"/>
    <col min="6154" max="6154" width="9.25" style="568" customWidth="1"/>
    <col min="6155" max="6155" width="4.625" style="568" customWidth="1"/>
    <col min="6156" max="6156" width="5.125" style="568" customWidth="1"/>
    <col min="6157" max="6157" width="5.625" style="568" customWidth="1"/>
    <col min="6158" max="6158" width="4.125" style="568" customWidth="1"/>
    <col min="6159" max="6160" width="8.625" style="568" customWidth="1"/>
    <col min="6161" max="6162" width="7.375" style="568" customWidth="1"/>
    <col min="6163" max="6400" width="9" style="568"/>
    <col min="6401" max="6404" width="4.75" style="568" customWidth="1"/>
    <col min="6405" max="6405" width="3.875" style="568" customWidth="1"/>
    <col min="6406" max="6407" width="4.75" style="568" customWidth="1"/>
    <col min="6408" max="6408" width="4.25" style="568" customWidth="1"/>
    <col min="6409" max="6409" width="4.75" style="568" customWidth="1"/>
    <col min="6410" max="6410" width="9.25" style="568" customWidth="1"/>
    <col min="6411" max="6411" width="4.625" style="568" customWidth="1"/>
    <col min="6412" max="6412" width="5.125" style="568" customWidth="1"/>
    <col min="6413" max="6413" width="5.625" style="568" customWidth="1"/>
    <col min="6414" max="6414" width="4.125" style="568" customWidth="1"/>
    <col min="6415" max="6416" width="8.625" style="568" customWidth="1"/>
    <col min="6417" max="6418" width="7.375" style="568" customWidth="1"/>
    <col min="6419" max="6656" width="9" style="568"/>
    <col min="6657" max="6660" width="4.75" style="568" customWidth="1"/>
    <col min="6661" max="6661" width="3.875" style="568" customWidth="1"/>
    <col min="6662" max="6663" width="4.75" style="568" customWidth="1"/>
    <col min="6664" max="6664" width="4.25" style="568" customWidth="1"/>
    <col min="6665" max="6665" width="4.75" style="568" customWidth="1"/>
    <col min="6666" max="6666" width="9.25" style="568" customWidth="1"/>
    <col min="6667" max="6667" width="4.625" style="568" customWidth="1"/>
    <col min="6668" max="6668" width="5.125" style="568" customWidth="1"/>
    <col min="6669" max="6669" width="5.625" style="568" customWidth="1"/>
    <col min="6670" max="6670" width="4.125" style="568" customWidth="1"/>
    <col min="6671" max="6672" width="8.625" style="568" customWidth="1"/>
    <col min="6673" max="6674" width="7.375" style="568" customWidth="1"/>
    <col min="6675" max="6912" width="9" style="568"/>
    <col min="6913" max="6916" width="4.75" style="568" customWidth="1"/>
    <col min="6917" max="6917" width="3.875" style="568" customWidth="1"/>
    <col min="6918" max="6919" width="4.75" style="568" customWidth="1"/>
    <col min="6920" max="6920" width="4.25" style="568" customWidth="1"/>
    <col min="6921" max="6921" width="4.75" style="568" customWidth="1"/>
    <col min="6922" max="6922" width="9.25" style="568" customWidth="1"/>
    <col min="6923" max="6923" width="4.625" style="568" customWidth="1"/>
    <col min="6924" max="6924" width="5.125" style="568" customWidth="1"/>
    <col min="6925" max="6925" width="5.625" style="568" customWidth="1"/>
    <col min="6926" max="6926" width="4.125" style="568" customWidth="1"/>
    <col min="6927" max="6928" width="8.625" style="568" customWidth="1"/>
    <col min="6929" max="6930" width="7.375" style="568" customWidth="1"/>
    <col min="6931" max="7168" width="9" style="568"/>
    <col min="7169" max="7172" width="4.75" style="568" customWidth="1"/>
    <col min="7173" max="7173" width="3.875" style="568" customWidth="1"/>
    <col min="7174" max="7175" width="4.75" style="568" customWidth="1"/>
    <col min="7176" max="7176" width="4.25" style="568" customWidth="1"/>
    <col min="7177" max="7177" width="4.75" style="568" customWidth="1"/>
    <col min="7178" max="7178" width="9.25" style="568" customWidth="1"/>
    <col min="7179" max="7179" width="4.625" style="568" customWidth="1"/>
    <col min="7180" max="7180" width="5.125" style="568" customWidth="1"/>
    <col min="7181" max="7181" width="5.625" style="568" customWidth="1"/>
    <col min="7182" max="7182" width="4.125" style="568" customWidth="1"/>
    <col min="7183" max="7184" width="8.625" style="568" customWidth="1"/>
    <col min="7185" max="7186" width="7.375" style="568" customWidth="1"/>
    <col min="7187" max="7424" width="9" style="568"/>
    <col min="7425" max="7428" width="4.75" style="568" customWidth="1"/>
    <col min="7429" max="7429" width="3.875" style="568" customWidth="1"/>
    <col min="7430" max="7431" width="4.75" style="568" customWidth="1"/>
    <col min="7432" max="7432" width="4.25" style="568" customWidth="1"/>
    <col min="7433" max="7433" width="4.75" style="568" customWidth="1"/>
    <col min="7434" max="7434" width="9.25" style="568" customWidth="1"/>
    <col min="7435" max="7435" width="4.625" style="568" customWidth="1"/>
    <col min="7436" max="7436" width="5.125" style="568" customWidth="1"/>
    <col min="7437" max="7437" width="5.625" style="568" customWidth="1"/>
    <col min="7438" max="7438" width="4.125" style="568" customWidth="1"/>
    <col min="7439" max="7440" width="8.625" style="568" customWidth="1"/>
    <col min="7441" max="7442" width="7.375" style="568" customWidth="1"/>
    <col min="7443" max="7680" width="9" style="568"/>
    <col min="7681" max="7684" width="4.75" style="568" customWidth="1"/>
    <col min="7685" max="7685" width="3.875" style="568" customWidth="1"/>
    <col min="7686" max="7687" width="4.75" style="568" customWidth="1"/>
    <col min="7688" max="7688" width="4.25" style="568" customWidth="1"/>
    <col min="7689" max="7689" width="4.75" style="568" customWidth="1"/>
    <col min="7690" max="7690" width="9.25" style="568" customWidth="1"/>
    <col min="7691" max="7691" width="4.625" style="568" customWidth="1"/>
    <col min="7692" max="7692" width="5.125" style="568" customWidth="1"/>
    <col min="7693" max="7693" width="5.625" style="568" customWidth="1"/>
    <col min="7694" max="7694" width="4.125" style="568" customWidth="1"/>
    <col min="7695" max="7696" width="8.625" style="568" customWidth="1"/>
    <col min="7697" max="7698" width="7.375" style="568" customWidth="1"/>
    <col min="7699" max="7936" width="9" style="568"/>
    <col min="7937" max="7940" width="4.75" style="568" customWidth="1"/>
    <col min="7941" max="7941" width="3.875" style="568" customWidth="1"/>
    <col min="7942" max="7943" width="4.75" style="568" customWidth="1"/>
    <col min="7944" max="7944" width="4.25" style="568" customWidth="1"/>
    <col min="7945" max="7945" width="4.75" style="568" customWidth="1"/>
    <col min="7946" max="7946" width="9.25" style="568" customWidth="1"/>
    <col min="7947" max="7947" width="4.625" style="568" customWidth="1"/>
    <col min="7948" max="7948" width="5.125" style="568" customWidth="1"/>
    <col min="7949" max="7949" width="5.625" style="568" customWidth="1"/>
    <col min="7950" max="7950" width="4.125" style="568" customWidth="1"/>
    <col min="7951" max="7952" width="8.625" style="568" customWidth="1"/>
    <col min="7953" max="7954" width="7.375" style="568" customWidth="1"/>
    <col min="7955" max="8192" width="9" style="568"/>
    <col min="8193" max="8196" width="4.75" style="568" customWidth="1"/>
    <col min="8197" max="8197" width="3.875" style="568" customWidth="1"/>
    <col min="8198" max="8199" width="4.75" style="568" customWidth="1"/>
    <col min="8200" max="8200" width="4.25" style="568" customWidth="1"/>
    <col min="8201" max="8201" width="4.75" style="568" customWidth="1"/>
    <col min="8202" max="8202" width="9.25" style="568" customWidth="1"/>
    <col min="8203" max="8203" width="4.625" style="568" customWidth="1"/>
    <col min="8204" max="8204" width="5.125" style="568" customWidth="1"/>
    <col min="8205" max="8205" width="5.625" style="568" customWidth="1"/>
    <col min="8206" max="8206" width="4.125" style="568" customWidth="1"/>
    <col min="8207" max="8208" width="8.625" style="568" customWidth="1"/>
    <col min="8209" max="8210" width="7.375" style="568" customWidth="1"/>
    <col min="8211" max="8448" width="9" style="568"/>
    <col min="8449" max="8452" width="4.75" style="568" customWidth="1"/>
    <col min="8453" max="8453" width="3.875" style="568" customWidth="1"/>
    <col min="8454" max="8455" width="4.75" style="568" customWidth="1"/>
    <col min="8456" max="8456" width="4.25" style="568" customWidth="1"/>
    <col min="8457" max="8457" width="4.75" style="568" customWidth="1"/>
    <col min="8458" max="8458" width="9.25" style="568" customWidth="1"/>
    <col min="8459" max="8459" width="4.625" style="568" customWidth="1"/>
    <col min="8460" max="8460" width="5.125" style="568" customWidth="1"/>
    <col min="8461" max="8461" width="5.625" style="568" customWidth="1"/>
    <col min="8462" max="8462" width="4.125" style="568" customWidth="1"/>
    <col min="8463" max="8464" width="8.625" style="568" customWidth="1"/>
    <col min="8465" max="8466" width="7.375" style="568" customWidth="1"/>
    <col min="8467" max="8704" width="9" style="568"/>
    <col min="8705" max="8708" width="4.75" style="568" customWidth="1"/>
    <col min="8709" max="8709" width="3.875" style="568" customWidth="1"/>
    <col min="8710" max="8711" width="4.75" style="568" customWidth="1"/>
    <col min="8712" max="8712" width="4.25" style="568" customWidth="1"/>
    <col min="8713" max="8713" width="4.75" style="568" customWidth="1"/>
    <col min="8714" max="8714" width="9.25" style="568" customWidth="1"/>
    <col min="8715" max="8715" width="4.625" style="568" customWidth="1"/>
    <col min="8716" max="8716" width="5.125" style="568" customWidth="1"/>
    <col min="8717" max="8717" width="5.625" style="568" customWidth="1"/>
    <col min="8718" max="8718" width="4.125" style="568" customWidth="1"/>
    <col min="8719" max="8720" width="8.625" style="568" customWidth="1"/>
    <col min="8721" max="8722" width="7.375" style="568" customWidth="1"/>
    <col min="8723" max="8960" width="9" style="568"/>
    <col min="8961" max="8964" width="4.75" style="568" customWidth="1"/>
    <col min="8965" max="8965" width="3.875" style="568" customWidth="1"/>
    <col min="8966" max="8967" width="4.75" style="568" customWidth="1"/>
    <col min="8968" max="8968" width="4.25" style="568" customWidth="1"/>
    <col min="8969" max="8969" width="4.75" style="568" customWidth="1"/>
    <col min="8970" max="8970" width="9.25" style="568" customWidth="1"/>
    <col min="8971" max="8971" width="4.625" style="568" customWidth="1"/>
    <col min="8972" max="8972" width="5.125" style="568" customWidth="1"/>
    <col min="8973" max="8973" width="5.625" style="568" customWidth="1"/>
    <col min="8974" max="8974" width="4.125" style="568" customWidth="1"/>
    <col min="8975" max="8976" width="8.625" style="568" customWidth="1"/>
    <col min="8977" max="8978" width="7.375" style="568" customWidth="1"/>
    <col min="8979" max="9216" width="9" style="568"/>
    <col min="9217" max="9220" width="4.75" style="568" customWidth="1"/>
    <col min="9221" max="9221" width="3.875" style="568" customWidth="1"/>
    <col min="9222" max="9223" width="4.75" style="568" customWidth="1"/>
    <col min="9224" max="9224" width="4.25" style="568" customWidth="1"/>
    <col min="9225" max="9225" width="4.75" style="568" customWidth="1"/>
    <col min="9226" max="9226" width="9.25" style="568" customWidth="1"/>
    <col min="9227" max="9227" width="4.625" style="568" customWidth="1"/>
    <col min="9228" max="9228" width="5.125" style="568" customWidth="1"/>
    <col min="9229" max="9229" width="5.625" style="568" customWidth="1"/>
    <col min="9230" max="9230" width="4.125" style="568" customWidth="1"/>
    <col min="9231" max="9232" width="8.625" style="568" customWidth="1"/>
    <col min="9233" max="9234" width="7.375" style="568" customWidth="1"/>
    <col min="9235" max="9472" width="9" style="568"/>
    <col min="9473" max="9476" width="4.75" style="568" customWidth="1"/>
    <col min="9477" max="9477" width="3.875" style="568" customWidth="1"/>
    <col min="9478" max="9479" width="4.75" style="568" customWidth="1"/>
    <col min="9480" max="9480" width="4.25" style="568" customWidth="1"/>
    <col min="9481" max="9481" width="4.75" style="568" customWidth="1"/>
    <col min="9482" max="9482" width="9.25" style="568" customWidth="1"/>
    <col min="9483" max="9483" width="4.625" style="568" customWidth="1"/>
    <col min="9484" max="9484" width="5.125" style="568" customWidth="1"/>
    <col min="9485" max="9485" width="5.625" style="568" customWidth="1"/>
    <col min="9486" max="9486" width="4.125" style="568" customWidth="1"/>
    <col min="9487" max="9488" width="8.625" style="568" customWidth="1"/>
    <col min="9489" max="9490" width="7.375" style="568" customWidth="1"/>
    <col min="9491" max="9728" width="9" style="568"/>
    <col min="9729" max="9732" width="4.75" style="568" customWidth="1"/>
    <col min="9733" max="9733" width="3.875" style="568" customWidth="1"/>
    <col min="9734" max="9735" width="4.75" style="568" customWidth="1"/>
    <col min="9736" max="9736" width="4.25" style="568" customWidth="1"/>
    <col min="9737" max="9737" width="4.75" style="568" customWidth="1"/>
    <col min="9738" max="9738" width="9.25" style="568" customWidth="1"/>
    <col min="9739" max="9739" width="4.625" style="568" customWidth="1"/>
    <col min="9740" max="9740" width="5.125" style="568" customWidth="1"/>
    <col min="9741" max="9741" width="5.625" style="568" customWidth="1"/>
    <col min="9742" max="9742" width="4.125" style="568" customWidth="1"/>
    <col min="9743" max="9744" width="8.625" style="568" customWidth="1"/>
    <col min="9745" max="9746" width="7.375" style="568" customWidth="1"/>
    <col min="9747" max="9984" width="9" style="568"/>
    <col min="9985" max="9988" width="4.75" style="568" customWidth="1"/>
    <col min="9989" max="9989" width="3.875" style="568" customWidth="1"/>
    <col min="9990" max="9991" width="4.75" style="568" customWidth="1"/>
    <col min="9992" max="9992" width="4.25" style="568" customWidth="1"/>
    <col min="9993" max="9993" width="4.75" style="568" customWidth="1"/>
    <col min="9994" max="9994" width="9.25" style="568" customWidth="1"/>
    <col min="9995" max="9995" width="4.625" style="568" customWidth="1"/>
    <col min="9996" max="9996" width="5.125" style="568" customWidth="1"/>
    <col min="9997" max="9997" width="5.625" style="568" customWidth="1"/>
    <col min="9998" max="9998" width="4.125" style="568" customWidth="1"/>
    <col min="9999" max="10000" width="8.625" style="568" customWidth="1"/>
    <col min="10001" max="10002" width="7.375" style="568" customWidth="1"/>
    <col min="10003" max="10240" width="9" style="568"/>
    <col min="10241" max="10244" width="4.75" style="568" customWidth="1"/>
    <col min="10245" max="10245" width="3.875" style="568" customWidth="1"/>
    <col min="10246" max="10247" width="4.75" style="568" customWidth="1"/>
    <col min="10248" max="10248" width="4.25" style="568" customWidth="1"/>
    <col min="10249" max="10249" width="4.75" style="568" customWidth="1"/>
    <col min="10250" max="10250" width="9.25" style="568" customWidth="1"/>
    <col min="10251" max="10251" width="4.625" style="568" customWidth="1"/>
    <col min="10252" max="10252" width="5.125" style="568" customWidth="1"/>
    <col min="10253" max="10253" width="5.625" style="568" customWidth="1"/>
    <col min="10254" max="10254" width="4.125" style="568" customWidth="1"/>
    <col min="10255" max="10256" width="8.625" style="568" customWidth="1"/>
    <col min="10257" max="10258" width="7.375" style="568" customWidth="1"/>
    <col min="10259" max="10496" width="9" style="568"/>
    <col min="10497" max="10500" width="4.75" style="568" customWidth="1"/>
    <col min="10501" max="10501" width="3.875" style="568" customWidth="1"/>
    <col min="10502" max="10503" width="4.75" style="568" customWidth="1"/>
    <col min="10504" max="10504" width="4.25" style="568" customWidth="1"/>
    <col min="10505" max="10505" width="4.75" style="568" customWidth="1"/>
    <col min="10506" max="10506" width="9.25" style="568" customWidth="1"/>
    <col min="10507" max="10507" width="4.625" style="568" customWidth="1"/>
    <col min="10508" max="10508" width="5.125" style="568" customWidth="1"/>
    <col min="10509" max="10509" width="5.625" style="568" customWidth="1"/>
    <col min="10510" max="10510" width="4.125" style="568" customWidth="1"/>
    <col min="10511" max="10512" width="8.625" style="568" customWidth="1"/>
    <col min="10513" max="10514" width="7.375" style="568" customWidth="1"/>
    <col min="10515" max="10752" width="9" style="568"/>
    <col min="10753" max="10756" width="4.75" style="568" customWidth="1"/>
    <col min="10757" max="10757" width="3.875" style="568" customWidth="1"/>
    <col min="10758" max="10759" width="4.75" style="568" customWidth="1"/>
    <col min="10760" max="10760" width="4.25" style="568" customWidth="1"/>
    <col min="10761" max="10761" width="4.75" style="568" customWidth="1"/>
    <col min="10762" max="10762" width="9.25" style="568" customWidth="1"/>
    <col min="10763" max="10763" width="4.625" style="568" customWidth="1"/>
    <col min="10764" max="10764" width="5.125" style="568" customWidth="1"/>
    <col min="10765" max="10765" width="5.625" style="568" customWidth="1"/>
    <col min="10766" max="10766" width="4.125" style="568" customWidth="1"/>
    <col min="10767" max="10768" width="8.625" style="568" customWidth="1"/>
    <col min="10769" max="10770" width="7.375" style="568" customWidth="1"/>
    <col min="10771" max="11008" width="9" style="568"/>
    <col min="11009" max="11012" width="4.75" style="568" customWidth="1"/>
    <col min="11013" max="11013" width="3.875" style="568" customWidth="1"/>
    <col min="11014" max="11015" width="4.75" style="568" customWidth="1"/>
    <col min="11016" max="11016" width="4.25" style="568" customWidth="1"/>
    <col min="11017" max="11017" width="4.75" style="568" customWidth="1"/>
    <col min="11018" max="11018" width="9.25" style="568" customWidth="1"/>
    <col min="11019" max="11019" width="4.625" style="568" customWidth="1"/>
    <col min="11020" max="11020" width="5.125" style="568" customWidth="1"/>
    <col min="11021" max="11021" width="5.625" style="568" customWidth="1"/>
    <col min="11022" max="11022" width="4.125" style="568" customWidth="1"/>
    <col min="11023" max="11024" width="8.625" style="568" customWidth="1"/>
    <col min="11025" max="11026" width="7.375" style="568" customWidth="1"/>
    <col min="11027" max="11264" width="9" style="568"/>
    <col min="11265" max="11268" width="4.75" style="568" customWidth="1"/>
    <col min="11269" max="11269" width="3.875" style="568" customWidth="1"/>
    <col min="11270" max="11271" width="4.75" style="568" customWidth="1"/>
    <col min="11272" max="11272" width="4.25" style="568" customWidth="1"/>
    <col min="11273" max="11273" width="4.75" style="568" customWidth="1"/>
    <col min="11274" max="11274" width="9.25" style="568" customWidth="1"/>
    <col min="11275" max="11275" width="4.625" style="568" customWidth="1"/>
    <col min="11276" max="11276" width="5.125" style="568" customWidth="1"/>
    <col min="11277" max="11277" width="5.625" style="568" customWidth="1"/>
    <col min="11278" max="11278" width="4.125" style="568" customWidth="1"/>
    <col min="11279" max="11280" width="8.625" style="568" customWidth="1"/>
    <col min="11281" max="11282" width="7.375" style="568" customWidth="1"/>
    <col min="11283" max="11520" width="9" style="568"/>
    <col min="11521" max="11524" width="4.75" style="568" customWidth="1"/>
    <col min="11525" max="11525" width="3.875" style="568" customWidth="1"/>
    <col min="11526" max="11527" width="4.75" style="568" customWidth="1"/>
    <col min="11528" max="11528" width="4.25" style="568" customWidth="1"/>
    <col min="11529" max="11529" width="4.75" style="568" customWidth="1"/>
    <col min="11530" max="11530" width="9.25" style="568" customWidth="1"/>
    <col min="11531" max="11531" width="4.625" style="568" customWidth="1"/>
    <col min="11532" max="11532" width="5.125" style="568" customWidth="1"/>
    <col min="11533" max="11533" width="5.625" style="568" customWidth="1"/>
    <col min="11534" max="11534" width="4.125" style="568" customWidth="1"/>
    <col min="11535" max="11536" width="8.625" style="568" customWidth="1"/>
    <col min="11537" max="11538" width="7.375" style="568" customWidth="1"/>
    <col min="11539" max="11776" width="9" style="568"/>
    <col min="11777" max="11780" width="4.75" style="568" customWidth="1"/>
    <col min="11781" max="11781" width="3.875" style="568" customWidth="1"/>
    <col min="11782" max="11783" width="4.75" style="568" customWidth="1"/>
    <col min="11784" max="11784" width="4.25" style="568" customWidth="1"/>
    <col min="11785" max="11785" width="4.75" style="568" customWidth="1"/>
    <col min="11786" max="11786" width="9.25" style="568" customWidth="1"/>
    <col min="11787" max="11787" width="4.625" style="568" customWidth="1"/>
    <col min="11788" max="11788" width="5.125" style="568" customWidth="1"/>
    <col min="11789" max="11789" width="5.625" style="568" customWidth="1"/>
    <col min="11790" max="11790" width="4.125" style="568" customWidth="1"/>
    <col min="11791" max="11792" width="8.625" style="568" customWidth="1"/>
    <col min="11793" max="11794" width="7.375" style="568" customWidth="1"/>
    <col min="11795" max="12032" width="9" style="568"/>
    <col min="12033" max="12036" width="4.75" style="568" customWidth="1"/>
    <col min="12037" max="12037" width="3.875" style="568" customWidth="1"/>
    <col min="12038" max="12039" width="4.75" style="568" customWidth="1"/>
    <col min="12040" max="12040" width="4.25" style="568" customWidth="1"/>
    <col min="12041" max="12041" width="4.75" style="568" customWidth="1"/>
    <col min="12042" max="12042" width="9.25" style="568" customWidth="1"/>
    <col min="12043" max="12043" width="4.625" style="568" customWidth="1"/>
    <col min="12044" max="12044" width="5.125" style="568" customWidth="1"/>
    <col min="12045" max="12045" width="5.625" style="568" customWidth="1"/>
    <col min="12046" max="12046" width="4.125" style="568" customWidth="1"/>
    <col min="12047" max="12048" width="8.625" style="568" customWidth="1"/>
    <col min="12049" max="12050" width="7.375" style="568" customWidth="1"/>
    <col min="12051" max="12288" width="9" style="568"/>
    <col min="12289" max="12292" width="4.75" style="568" customWidth="1"/>
    <col min="12293" max="12293" width="3.875" style="568" customWidth="1"/>
    <col min="12294" max="12295" width="4.75" style="568" customWidth="1"/>
    <col min="12296" max="12296" width="4.25" style="568" customWidth="1"/>
    <col min="12297" max="12297" width="4.75" style="568" customWidth="1"/>
    <col min="12298" max="12298" width="9.25" style="568" customWidth="1"/>
    <col min="12299" max="12299" width="4.625" style="568" customWidth="1"/>
    <col min="12300" max="12300" width="5.125" style="568" customWidth="1"/>
    <col min="12301" max="12301" width="5.625" style="568" customWidth="1"/>
    <col min="12302" max="12302" width="4.125" style="568" customWidth="1"/>
    <col min="12303" max="12304" width="8.625" style="568" customWidth="1"/>
    <col min="12305" max="12306" width="7.375" style="568" customWidth="1"/>
    <col min="12307" max="12544" width="9" style="568"/>
    <col min="12545" max="12548" width="4.75" style="568" customWidth="1"/>
    <col min="12549" max="12549" width="3.875" style="568" customWidth="1"/>
    <col min="12550" max="12551" width="4.75" style="568" customWidth="1"/>
    <col min="12552" max="12552" width="4.25" style="568" customWidth="1"/>
    <col min="12553" max="12553" width="4.75" style="568" customWidth="1"/>
    <col min="12554" max="12554" width="9.25" style="568" customWidth="1"/>
    <col min="12555" max="12555" width="4.625" style="568" customWidth="1"/>
    <col min="12556" max="12556" width="5.125" style="568" customWidth="1"/>
    <col min="12557" max="12557" width="5.625" style="568" customWidth="1"/>
    <col min="12558" max="12558" width="4.125" style="568" customWidth="1"/>
    <col min="12559" max="12560" width="8.625" style="568" customWidth="1"/>
    <col min="12561" max="12562" width="7.375" style="568" customWidth="1"/>
    <col min="12563" max="12800" width="9" style="568"/>
    <col min="12801" max="12804" width="4.75" style="568" customWidth="1"/>
    <col min="12805" max="12805" width="3.875" style="568" customWidth="1"/>
    <col min="12806" max="12807" width="4.75" style="568" customWidth="1"/>
    <col min="12808" max="12808" width="4.25" style="568" customWidth="1"/>
    <col min="12809" max="12809" width="4.75" style="568" customWidth="1"/>
    <col min="12810" max="12810" width="9.25" style="568" customWidth="1"/>
    <col min="12811" max="12811" width="4.625" style="568" customWidth="1"/>
    <col min="12812" max="12812" width="5.125" style="568" customWidth="1"/>
    <col min="12813" max="12813" width="5.625" style="568" customWidth="1"/>
    <col min="12814" max="12814" width="4.125" style="568" customWidth="1"/>
    <col min="12815" max="12816" width="8.625" style="568" customWidth="1"/>
    <col min="12817" max="12818" width="7.375" style="568" customWidth="1"/>
    <col min="12819" max="13056" width="9" style="568"/>
    <col min="13057" max="13060" width="4.75" style="568" customWidth="1"/>
    <col min="13061" max="13061" width="3.875" style="568" customWidth="1"/>
    <col min="13062" max="13063" width="4.75" style="568" customWidth="1"/>
    <col min="13064" max="13064" width="4.25" style="568" customWidth="1"/>
    <col min="13065" max="13065" width="4.75" style="568" customWidth="1"/>
    <col min="13066" max="13066" width="9.25" style="568" customWidth="1"/>
    <col min="13067" max="13067" width="4.625" style="568" customWidth="1"/>
    <col min="13068" max="13068" width="5.125" style="568" customWidth="1"/>
    <col min="13069" max="13069" width="5.625" style="568" customWidth="1"/>
    <col min="13070" max="13070" width="4.125" style="568" customWidth="1"/>
    <col min="13071" max="13072" width="8.625" style="568" customWidth="1"/>
    <col min="13073" max="13074" width="7.375" style="568" customWidth="1"/>
    <col min="13075" max="13312" width="9" style="568"/>
    <col min="13313" max="13316" width="4.75" style="568" customWidth="1"/>
    <col min="13317" max="13317" width="3.875" style="568" customWidth="1"/>
    <col min="13318" max="13319" width="4.75" style="568" customWidth="1"/>
    <col min="13320" max="13320" width="4.25" style="568" customWidth="1"/>
    <col min="13321" max="13321" width="4.75" style="568" customWidth="1"/>
    <col min="13322" max="13322" width="9.25" style="568" customWidth="1"/>
    <col min="13323" max="13323" width="4.625" style="568" customWidth="1"/>
    <col min="13324" max="13324" width="5.125" style="568" customWidth="1"/>
    <col min="13325" max="13325" width="5.625" style="568" customWidth="1"/>
    <col min="13326" max="13326" width="4.125" style="568" customWidth="1"/>
    <col min="13327" max="13328" width="8.625" style="568" customWidth="1"/>
    <col min="13329" max="13330" width="7.375" style="568" customWidth="1"/>
    <col min="13331" max="13568" width="9" style="568"/>
    <col min="13569" max="13572" width="4.75" style="568" customWidth="1"/>
    <col min="13573" max="13573" width="3.875" style="568" customWidth="1"/>
    <col min="13574" max="13575" width="4.75" style="568" customWidth="1"/>
    <col min="13576" max="13576" width="4.25" style="568" customWidth="1"/>
    <col min="13577" max="13577" width="4.75" style="568" customWidth="1"/>
    <col min="13578" max="13578" width="9.25" style="568" customWidth="1"/>
    <col min="13579" max="13579" width="4.625" style="568" customWidth="1"/>
    <col min="13580" max="13580" width="5.125" style="568" customWidth="1"/>
    <col min="13581" max="13581" width="5.625" style="568" customWidth="1"/>
    <col min="13582" max="13582" width="4.125" style="568" customWidth="1"/>
    <col min="13583" max="13584" width="8.625" style="568" customWidth="1"/>
    <col min="13585" max="13586" width="7.375" style="568" customWidth="1"/>
    <col min="13587" max="13824" width="9" style="568"/>
    <col min="13825" max="13828" width="4.75" style="568" customWidth="1"/>
    <col min="13829" max="13829" width="3.875" style="568" customWidth="1"/>
    <col min="13830" max="13831" width="4.75" style="568" customWidth="1"/>
    <col min="13832" max="13832" width="4.25" style="568" customWidth="1"/>
    <col min="13833" max="13833" width="4.75" style="568" customWidth="1"/>
    <col min="13834" max="13834" width="9.25" style="568" customWidth="1"/>
    <col min="13835" max="13835" width="4.625" style="568" customWidth="1"/>
    <col min="13836" max="13836" width="5.125" style="568" customWidth="1"/>
    <col min="13837" max="13837" width="5.625" style="568" customWidth="1"/>
    <col min="13838" max="13838" width="4.125" style="568" customWidth="1"/>
    <col min="13839" max="13840" width="8.625" style="568" customWidth="1"/>
    <col min="13841" max="13842" width="7.375" style="568" customWidth="1"/>
    <col min="13843" max="14080" width="9" style="568"/>
    <col min="14081" max="14084" width="4.75" style="568" customWidth="1"/>
    <col min="14085" max="14085" width="3.875" style="568" customWidth="1"/>
    <col min="14086" max="14087" width="4.75" style="568" customWidth="1"/>
    <col min="14088" max="14088" width="4.25" style="568" customWidth="1"/>
    <col min="14089" max="14089" width="4.75" style="568" customWidth="1"/>
    <col min="14090" max="14090" width="9.25" style="568" customWidth="1"/>
    <col min="14091" max="14091" width="4.625" style="568" customWidth="1"/>
    <col min="14092" max="14092" width="5.125" style="568" customWidth="1"/>
    <col min="14093" max="14093" width="5.625" style="568" customWidth="1"/>
    <col min="14094" max="14094" width="4.125" style="568" customWidth="1"/>
    <col min="14095" max="14096" width="8.625" style="568" customWidth="1"/>
    <col min="14097" max="14098" width="7.375" style="568" customWidth="1"/>
    <col min="14099" max="14336" width="9" style="568"/>
    <col min="14337" max="14340" width="4.75" style="568" customWidth="1"/>
    <col min="14341" max="14341" width="3.875" style="568" customWidth="1"/>
    <col min="14342" max="14343" width="4.75" style="568" customWidth="1"/>
    <col min="14344" max="14344" width="4.25" style="568" customWidth="1"/>
    <col min="14345" max="14345" width="4.75" style="568" customWidth="1"/>
    <col min="14346" max="14346" width="9.25" style="568" customWidth="1"/>
    <col min="14347" max="14347" width="4.625" style="568" customWidth="1"/>
    <col min="14348" max="14348" width="5.125" style="568" customWidth="1"/>
    <col min="14349" max="14349" width="5.625" style="568" customWidth="1"/>
    <col min="14350" max="14350" width="4.125" style="568" customWidth="1"/>
    <col min="14351" max="14352" width="8.625" style="568" customWidth="1"/>
    <col min="14353" max="14354" width="7.375" style="568" customWidth="1"/>
    <col min="14355" max="14592" width="9" style="568"/>
    <col min="14593" max="14596" width="4.75" style="568" customWidth="1"/>
    <col min="14597" max="14597" width="3.875" style="568" customWidth="1"/>
    <col min="14598" max="14599" width="4.75" style="568" customWidth="1"/>
    <col min="14600" max="14600" width="4.25" style="568" customWidth="1"/>
    <col min="14601" max="14601" width="4.75" style="568" customWidth="1"/>
    <col min="14602" max="14602" width="9.25" style="568" customWidth="1"/>
    <col min="14603" max="14603" width="4.625" style="568" customWidth="1"/>
    <col min="14604" max="14604" width="5.125" style="568" customWidth="1"/>
    <col min="14605" max="14605" width="5.625" style="568" customWidth="1"/>
    <col min="14606" max="14606" width="4.125" style="568" customWidth="1"/>
    <col min="14607" max="14608" width="8.625" style="568" customWidth="1"/>
    <col min="14609" max="14610" width="7.375" style="568" customWidth="1"/>
    <col min="14611" max="14848" width="9" style="568"/>
    <col min="14849" max="14852" width="4.75" style="568" customWidth="1"/>
    <col min="14853" max="14853" width="3.875" style="568" customWidth="1"/>
    <col min="14854" max="14855" width="4.75" style="568" customWidth="1"/>
    <col min="14856" max="14856" width="4.25" style="568" customWidth="1"/>
    <col min="14857" max="14857" width="4.75" style="568" customWidth="1"/>
    <col min="14858" max="14858" width="9.25" style="568" customWidth="1"/>
    <col min="14859" max="14859" width="4.625" style="568" customWidth="1"/>
    <col min="14860" max="14860" width="5.125" style="568" customWidth="1"/>
    <col min="14861" max="14861" width="5.625" style="568" customWidth="1"/>
    <col min="14862" max="14862" width="4.125" style="568" customWidth="1"/>
    <col min="14863" max="14864" width="8.625" style="568" customWidth="1"/>
    <col min="14865" max="14866" width="7.375" style="568" customWidth="1"/>
    <col min="14867" max="15104" width="9" style="568"/>
    <col min="15105" max="15108" width="4.75" style="568" customWidth="1"/>
    <col min="15109" max="15109" width="3.875" style="568" customWidth="1"/>
    <col min="15110" max="15111" width="4.75" style="568" customWidth="1"/>
    <col min="15112" max="15112" width="4.25" style="568" customWidth="1"/>
    <col min="15113" max="15113" width="4.75" style="568" customWidth="1"/>
    <col min="15114" max="15114" width="9.25" style="568" customWidth="1"/>
    <col min="15115" max="15115" width="4.625" style="568" customWidth="1"/>
    <col min="15116" max="15116" width="5.125" style="568" customWidth="1"/>
    <col min="15117" max="15117" width="5.625" style="568" customWidth="1"/>
    <col min="15118" max="15118" width="4.125" style="568" customWidth="1"/>
    <col min="15119" max="15120" width="8.625" style="568" customWidth="1"/>
    <col min="15121" max="15122" width="7.375" style="568" customWidth="1"/>
    <col min="15123" max="15360" width="9" style="568"/>
    <col min="15361" max="15364" width="4.75" style="568" customWidth="1"/>
    <col min="15365" max="15365" width="3.875" style="568" customWidth="1"/>
    <col min="15366" max="15367" width="4.75" style="568" customWidth="1"/>
    <col min="15368" max="15368" width="4.25" style="568" customWidth="1"/>
    <col min="15369" max="15369" width="4.75" style="568" customWidth="1"/>
    <col min="15370" max="15370" width="9.25" style="568" customWidth="1"/>
    <col min="15371" max="15371" width="4.625" style="568" customWidth="1"/>
    <col min="15372" max="15372" width="5.125" style="568" customWidth="1"/>
    <col min="15373" max="15373" width="5.625" style="568" customWidth="1"/>
    <col min="15374" max="15374" width="4.125" style="568" customWidth="1"/>
    <col min="15375" max="15376" width="8.625" style="568" customWidth="1"/>
    <col min="15377" max="15378" width="7.375" style="568" customWidth="1"/>
    <col min="15379" max="15616" width="9" style="568"/>
    <col min="15617" max="15620" width="4.75" style="568" customWidth="1"/>
    <col min="15621" max="15621" width="3.875" style="568" customWidth="1"/>
    <col min="15622" max="15623" width="4.75" style="568" customWidth="1"/>
    <col min="15624" max="15624" width="4.25" style="568" customWidth="1"/>
    <col min="15625" max="15625" width="4.75" style="568" customWidth="1"/>
    <col min="15626" max="15626" width="9.25" style="568" customWidth="1"/>
    <col min="15627" max="15627" width="4.625" style="568" customWidth="1"/>
    <col min="15628" max="15628" width="5.125" style="568" customWidth="1"/>
    <col min="15629" max="15629" width="5.625" style="568" customWidth="1"/>
    <col min="15630" max="15630" width="4.125" style="568" customWidth="1"/>
    <col min="15631" max="15632" width="8.625" style="568" customWidth="1"/>
    <col min="15633" max="15634" width="7.375" style="568" customWidth="1"/>
    <col min="15635" max="15872" width="9" style="568"/>
    <col min="15873" max="15876" width="4.75" style="568" customWidth="1"/>
    <col min="15877" max="15877" width="3.875" style="568" customWidth="1"/>
    <col min="15878" max="15879" width="4.75" style="568" customWidth="1"/>
    <col min="15880" max="15880" width="4.25" style="568" customWidth="1"/>
    <col min="15881" max="15881" width="4.75" style="568" customWidth="1"/>
    <col min="15882" max="15882" width="9.25" style="568" customWidth="1"/>
    <col min="15883" max="15883" width="4.625" style="568" customWidth="1"/>
    <col min="15884" max="15884" width="5.125" style="568" customWidth="1"/>
    <col min="15885" max="15885" width="5.625" style="568" customWidth="1"/>
    <col min="15886" max="15886" width="4.125" style="568" customWidth="1"/>
    <col min="15887" max="15888" width="8.625" style="568" customWidth="1"/>
    <col min="15889" max="15890" width="7.375" style="568" customWidth="1"/>
    <col min="15891" max="16128" width="9" style="568"/>
    <col min="16129" max="16132" width="4.75" style="568" customWidth="1"/>
    <col min="16133" max="16133" width="3.875" style="568" customWidth="1"/>
    <col min="16134" max="16135" width="4.75" style="568" customWidth="1"/>
    <col min="16136" max="16136" width="4.25" style="568" customWidth="1"/>
    <col min="16137" max="16137" width="4.75" style="568" customWidth="1"/>
    <col min="16138" max="16138" width="9.25" style="568" customWidth="1"/>
    <col min="16139" max="16139" width="4.625" style="568" customWidth="1"/>
    <col min="16140" max="16140" width="5.125" style="568" customWidth="1"/>
    <col min="16141" max="16141" width="5.625" style="568" customWidth="1"/>
    <col min="16142" max="16142" width="4.125" style="568" customWidth="1"/>
    <col min="16143" max="16144" width="8.625" style="568" customWidth="1"/>
    <col min="16145" max="16146" width="7.375" style="568" customWidth="1"/>
    <col min="16147" max="16384" width="9" style="568"/>
  </cols>
  <sheetData>
    <row r="1" spans="1:19" ht="17.25">
      <c r="A1" s="821" t="s">
        <v>423</v>
      </c>
      <c r="B1" s="822"/>
      <c r="C1" s="822"/>
      <c r="D1" s="822"/>
      <c r="E1" s="822"/>
      <c r="F1" s="822"/>
      <c r="G1" s="822"/>
      <c r="H1" s="822"/>
      <c r="I1" s="822"/>
      <c r="J1" s="822"/>
      <c r="K1" s="822"/>
      <c r="L1" s="822"/>
      <c r="M1" s="822"/>
      <c r="N1" s="822"/>
      <c r="O1" s="822"/>
      <c r="P1" s="822"/>
      <c r="Q1" s="822"/>
      <c r="R1" s="823"/>
      <c r="S1" s="567"/>
    </row>
    <row r="2" spans="1:19">
      <c r="A2" s="824" t="s">
        <v>478</v>
      </c>
      <c r="B2" s="825"/>
      <c r="C2" s="825"/>
      <c r="D2" s="825"/>
      <c r="E2" s="825"/>
      <c r="F2" s="825"/>
      <c r="G2" s="825"/>
      <c r="H2" s="825"/>
      <c r="I2" s="825"/>
      <c r="J2" s="825"/>
      <c r="K2" s="825"/>
      <c r="L2" s="825"/>
      <c r="M2" s="825"/>
      <c r="N2" s="825"/>
      <c r="O2" s="825"/>
      <c r="P2" s="825"/>
      <c r="Q2" s="825"/>
      <c r="R2" s="826"/>
      <c r="S2" s="567"/>
    </row>
    <row r="3" spans="1:19" ht="16.5" customHeight="1">
      <c r="A3" s="827" t="s">
        <v>424</v>
      </c>
      <c r="B3" s="828"/>
      <c r="C3" s="828"/>
      <c r="D3" s="828"/>
      <c r="E3" s="828"/>
      <c r="F3" s="828"/>
      <c r="G3" s="828"/>
      <c r="H3" s="828"/>
      <c r="I3" s="828"/>
      <c r="J3" s="828"/>
      <c r="K3" s="828"/>
      <c r="L3" s="828"/>
      <c r="M3" s="828"/>
      <c r="N3" s="828"/>
      <c r="O3" s="828"/>
      <c r="P3" s="828"/>
      <c r="Q3" s="828"/>
      <c r="R3" s="829"/>
      <c r="S3" s="567"/>
    </row>
    <row r="4" spans="1:19">
      <c r="A4" s="830" t="s">
        <v>425</v>
      </c>
      <c r="B4" s="831"/>
      <c r="C4" s="831"/>
      <c r="D4" s="831"/>
      <c r="E4" s="831"/>
      <c r="F4" s="831"/>
      <c r="G4" s="831"/>
      <c r="H4" s="831"/>
      <c r="I4" s="831"/>
      <c r="J4" s="831"/>
      <c r="K4" s="831"/>
      <c r="L4" s="831"/>
      <c r="M4" s="831"/>
      <c r="N4" s="831"/>
      <c r="O4" s="831"/>
      <c r="P4" s="831"/>
      <c r="Q4" s="831"/>
      <c r="R4" s="832"/>
      <c r="S4" s="567"/>
    </row>
    <row r="5" spans="1:19">
      <c r="A5" s="833"/>
      <c r="B5" s="834"/>
      <c r="C5" s="834"/>
      <c r="D5" s="834"/>
      <c r="E5" s="834"/>
      <c r="F5" s="834"/>
      <c r="G5" s="834"/>
      <c r="H5" s="834"/>
      <c r="I5" s="834"/>
      <c r="J5" s="834"/>
      <c r="K5" s="834"/>
      <c r="L5" s="834"/>
      <c r="M5" s="834"/>
      <c r="N5" s="834"/>
      <c r="O5" s="834"/>
      <c r="P5" s="834"/>
      <c r="Q5" s="834"/>
      <c r="R5" s="835"/>
      <c r="S5" s="567"/>
    </row>
    <row r="6" spans="1:19">
      <c r="A6" s="830" t="s">
        <v>426</v>
      </c>
      <c r="B6" s="831"/>
      <c r="C6" s="831"/>
      <c r="D6" s="831"/>
      <c r="E6" s="831"/>
      <c r="F6" s="831"/>
      <c r="G6" s="831"/>
      <c r="H6" s="831"/>
      <c r="I6" s="831"/>
      <c r="J6" s="831"/>
      <c r="K6" s="831"/>
      <c r="L6" s="831"/>
      <c r="M6" s="831"/>
      <c r="N6" s="831"/>
      <c r="O6" s="831"/>
      <c r="P6" s="831"/>
      <c r="Q6" s="831"/>
      <c r="R6" s="832"/>
      <c r="S6" s="567"/>
    </row>
    <row r="7" spans="1:19" ht="20.100000000000001" customHeight="1">
      <c r="A7" s="855"/>
      <c r="B7" s="856"/>
      <c r="C7" s="569" t="s">
        <v>427</v>
      </c>
      <c r="D7" s="857"/>
      <c r="E7" s="857"/>
      <c r="F7" s="857"/>
      <c r="G7" s="857"/>
      <c r="H7" s="857"/>
      <c r="I7" s="857"/>
      <c r="J7" s="857"/>
      <c r="K7" s="857"/>
      <c r="L7" s="857"/>
      <c r="M7" s="857"/>
      <c r="N7" s="857"/>
      <c r="O7" s="857"/>
      <c r="P7" s="857"/>
      <c r="Q7" s="858"/>
      <c r="R7" s="570"/>
      <c r="S7" s="571"/>
    </row>
    <row r="8" spans="1:19" ht="15" customHeight="1">
      <c r="A8" s="855"/>
      <c r="B8" s="856"/>
      <c r="C8" s="859" t="s">
        <v>428</v>
      </c>
      <c r="D8" s="861" t="s">
        <v>429</v>
      </c>
      <c r="E8" s="862"/>
      <c r="F8" s="862"/>
      <c r="G8" s="863"/>
      <c r="H8" s="867" t="s">
        <v>430</v>
      </c>
      <c r="I8" s="868"/>
      <c r="J8" s="870"/>
      <c r="K8" s="862"/>
      <c r="L8" s="862"/>
      <c r="M8" s="862"/>
      <c r="N8" s="862"/>
      <c r="O8" s="862"/>
      <c r="P8" s="862"/>
      <c r="Q8" s="871" t="s">
        <v>431</v>
      </c>
      <c r="R8" s="836"/>
      <c r="S8" s="837"/>
    </row>
    <row r="9" spans="1:19" ht="15" customHeight="1">
      <c r="A9" s="855"/>
      <c r="B9" s="856"/>
      <c r="C9" s="860"/>
      <c r="D9" s="864"/>
      <c r="E9" s="865"/>
      <c r="F9" s="865"/>
      <c r="G9" s="866"/>
      <c r="H9" s="860"/>
      <c r="I9" s="869"/>
      <c r="J9" s="864"/>
      <c r="K9" s="865"/>
      <c r="L9" s="865"/>
      <c r="M9" s="865"/>
      <c r="N9" s="865"/>
      <c r="O9" s="865"/>
      <c r="P9" s="865"/>
      <c r="Q9" s="872"/>
      <c r="R9" s="836"/>
      <c r="S9" s="837"/>
    </row>
    <row r="10" spans="1:19">
      <c r="A10" s="838"/>
      <c r="B10" s="839"/>
      <c r="C10" s="839"/>
      <c r="D10" s="839"/>
      <c r="E10" s="839"/>
      <c r="F10" s="839"/>
      <c r="G10" s="839"/>
      <c r="H10" s="839"/>
      <c r="I10" s="839"/>
      <c r="J10" s="839"/>
      <c r="K10" s="839"/>
      <c r="L10" s="839"/>
      <c r="M10" s="839"/>
      <c r="N10" s="839"/>
      <c r="O10" s="839"/>
      <c r="P10" s="839"/>
      <c r="Q10" s="839"/>
      <c r="R10" s="840"/>
      <c r="S10" s="571"/>
    </row>
    <row r="11" spans="1:19" ht="32.25" customHeight="1" thickBot="1">
      <c r="A11" s="572" t="s">
        <v>432</v>
      </c>
      <c r="B11" s="841"/>
      <c r="C11" s="842"/>
      <c r="D11" s="842"/>
      <c r="E11" s="842"/>
      <c r="F11" s="842"/>
      <c r="G11" s="842"/>
      <c r="H11" s="842"/>
      <c r="I11" s="842"/>
      <c r="J11" s="842"/>
      <c r="K11" s="842"/>
      <c r="L11" s="842"/>
      <c r="M11" s="842"/>
      <c r="N11" s="842"/>
      <c r="O11" s="842"/>
      <c r="P11" s="842"/>
      <c r="Q11" s="842"/>
      <c r="R11" s="843"/>
      <c r="S11" s="571"/>
    </row>
    <row r="12" spans="1:19" ht="14.25" thickTop="1">
      <c r="A12" s="844" t="s">
        <v>433</v>
      </c>
      <c r="B12" s="847" t="s">
        <v>434</v>
      </c>
      <c r="C12" s="847"/>
      <c r="D12" s="848"/>
      <c r="E12" s="851"/>
      <c r="F12" s="573" t="s">
        <v>435</v>
      </c>
      <c r="G12" s="852" t="s">
        <v>436</v>
      </c>
      <c r="H12" s="853"/>
      <c r="I12" s="853"/>
      <c r="J12" s="854"/>
      <c r="K12" s="852" t="s">
        <v>437</v>
      </c>
      <c r="L12" s="853"/>
      <c r="M12" s="853"/>
      <c r="N12" s="854"/>
      <c r="O12" s="853" t="s">
        <v>438</v>
      </c>
      <c r="P12" s="853"/>
      <c r="Q12" s="852" t="s">
        <v>439</v>
      </c>
      <c r="R12" s="888"/>
      <c r="S12" s="571"/>
    </row>
    <row r="13" spans="1:19">
      <c r="A13" s="845"/>
      <c r="B13" s="849"/>
      <c r="C13" s="849"/>
      <c r="D13" s="850"/>
      <c r="E13" s="851"/>
      <c r="F13" s="889" t="s">
        <v>440</v>
      </c>
      <c r="G13" s="892" t="s">
        <v>440</v>
      </c>
      <c r="H13" s="893"/>
      <c r="I13" s="874"/>
      <c r="J13" s="874"/>
      <c r="K13" s="892" t="s">
        <v>440</v>
      </c>
      <c r="L13" s="874"/>
      <c r="M13" s="874"/>
      <c r="N13" s="897"/>
      <c r="O13" s="899"/>
      <c r="P13" s="900"/>
      <c r="Q13" s="903"/>
      <c r="R13" s="904"/>
      <c r="S13" s="571"/>
    </row>
    <row r="14" spans="1:19">
      <c r="A14" s="845"/>
      <c r="B14" s="873"/>
      <c r="C14" s="873"/>
      <c r="D14" s="873"/>
      <c r="E14" s="851"/>
      <c r="F14" s="890"/>
      <c r="G14" s="894"/>
      <c r="H14" s="895"/>
      <c r="I14" s="876"/>
      <c r="J14" s="876"/>
      <c r="K14" s="894"/>
      <c r="L14" s="876"/>
      <c r="M14" s="876"/>
      <c r="N14" s="898"/>
      <c r="O14" s="901"/>
      <c r="P14" s="902"/>
      <c r="Q14" s="905"/>
      <c r="R14" s="906"/>
      <c r="S14" s="571"/>
    </row>
    <row r="15" spans="1:19">
      <c r="A15" s="845"/>
      <c r="B15" s="874"/>
      <c r="C15" s="874"/>
      <c r="D15" s="875"/>
      <c r="E15" s="851"/>
      <c r="F15" s="891"/>
      <c r="G15" s="896"/>
      <c r="H15" s="880"/>
      <c r="I15" s="880" t="s">
        <v>441</v>
      </c>
      <c r="J15" s="880"/>
      <c r="K15" s="896"/>
      <c r="L15" s="881" t="s">
        <v>442</v>
      </c>
      <c r="M15" s="881"/>
      <c r="N15" s="882"/>
      <c r="O15" s="883" t="s">
        <v>43</v>
      </c>
      <c r="P15" s="884"/>
      <c r="Q15" s="907"/>
      <c r="R15" s="908"/>
      <c r="S15" s="574"/>
    </row>
    <row r="16" spans="1:19">
      <c r="A16" s="845"/>
      <c r="B16" s="876"/>
      <c r="C16" s="876"/>
      <c r="D16" s="877"/>
      <c r="E16" s="851"/>
      <c r="F16" s="575"/>
      <c r="G16" s="885"/>
      <c r="H16" s="886"/>
      <c r="I16" s="886"/>
      <c r="J16" s="887"/>
      <c r="K16" s="885"/>
      <c r="L16" s="886"/>
      <c r="M16" s="886"/>
      <c r="N16" s="887"/>
      <c r="O16" s="885"/>
      <c r="P16" s="887"/>
      <c r="Q16" s="910"/>
      <c r="R16" s="911"/>
      <c r="S16" s="571"/>
    </row>
    <row r="17" spans="1:19">
      <c r="A17" s="845"/>
      <c r="B17" s="878"/>
      <c r="C17" s="878"/>
      <c r="D17" s="879"/>
      <c r="E17" s="851"/>
      <c r="F17" s="912" t="s">
        <v>440</v>
      </c>
      <c r="G17" s="893" t="s">
        <v>440</v>
      </c>
      <c r="H17" s="893"/>
      <c r="I17" s="874"/>
      <c r="J17" s="897"/>
      <c r="K17" s="892" t="s">
        <v>440</v>
      </c>
      <c r="L17" s="874"/>
      <c r="M17" s="874"/>
      <c r="N17" s="897"/>
      <c r="O17" s="899"/>
      <c r="P17" s="900"/>
      <c r="Q17" s="903"/>
      <c r="R17" s="904"/>
      <c r="S17" s="571"/>
    </row>
    <row r="18" spans="1:19">
      <c r="A18" s="845"/>
      <c r="B18" s="873"/>
      <c r="C18" s="873"/>
      <c r="D18" s="873"/>
      <c r="E18" s="851"/>
      <c r="F18" s="913"/>
      <c r="G18" s="895"/>
      <c r="H18" s="895"/>
      <c r="I18" s="876"/>
      <c r="J18" s="898"/>
      <c r="K18" s="894"/>
      <c r="L18" s="876"/>
      <c r="M18" s="876"/>
      <c r="N18" s="898"/>
      <c r="O18" s="901"/>
      <c r="P18" s="902"/>
      <c r="Q18" s="905"/>
      <c r="R18" s="906"/>
      <c r="S18" s="571"/>
    </row>
    <row r="19" spans="1:19">
      <c r="A19" s="845"/>
      <c r="B19" s="874"/>
      <c r="C19" s="874"/>
      <c r="D19" s="875"/>
      <c r="E19" s="851"/>
      <c r="F19" s="914"/>
      <c r="G19" s="880"/>
      <c r="H19" s="880"/>
      <c r="I19" s="880" t="s">
        <v>441</v>
      </c>
      <c r="J19" s="909"/>
      <c r="K19" s="896"/>
      <c r="L19" s="881" t="s">
        <v>442</v>
      </c>
      <c r="M19" s="881"/>
      <c r="N19" s="882"/>
      <c r="O19" s="883" t="s">
        <v>43</v>
      </c>
      <c r="P19" s="884"/>
      <c r="Q19" s="907"/>
      <c r="R19" s="908"/>
      <c r="S19" s="571"/>
    </row>
    <row r="20" spans="1:19">
      <c r="A20" s="845"/>
      <c r="B20" s="876"/>
      <c r="C20" s="876"/>
      <c r="D20" s="877"/>
      <c r="E20" s="851"/>
      <c r="F20" s="575"/>
      <c r="G20" s="885"/>
      <c r="H20" s="886"/>
      <c r="I20" s="886"/>
      <c r="J20" s="887"/>
      <c r="K20" s="910"/>
      <c r="L20" s="910"/>
      <c r="M20" s="910"/>
      <c r="N20" s="910"/>
      <c r="O20" s="885"/>
      <c r="P20" s="886"/>
      <c r="Q20" s="885"/>
      <c r="R20" s="916"/>
      <c r="S20" s="571"/>
    </row>
    <row r="21" spans="1:19">
      <c r="A21" s="845"/>
      <c r="B21" s="878"/>
      <c r="C21" s="878"/>
      <c r="D21" s="879"/>
      <c r="E21" s="851"/>
      <c r="F21" s="912" t="s">
        <v>440</v>
      </c>
      <c r="G21" s="892" t="s">
        <v>440</v>
      </c>
      <c r="H21" s="893"/>
      <c r="I21" s="874"/>
      <c r="J21" s="897"/>
      <c r="K21" s="893" t="s">
        <v>440</v>
      </c>
      <c r="L21" s="874"/>
      <c r="M21" s="874"/>
      <c r="N21" s="897"/>
      <c r="O21" s="917"/>
      <c r="P21" s="900"/>
      <c r="Q21" s="874"/>
      <c r="R21" s="904"/>
      <c r="S21" s="571"/>
    </row>
    <row r="22" spans="1:19">
      <c r="A22" s="845"/>
      <c r="B22" s="873"/>
      <c r="C22" s="873"/>
      <c r="D22" s="873"/>
      <c r="E22" s="851"/>
      <c r="F22" s="913"/>
      <c r="G22" s="894"/>
      <c r="H22" s="895"/>
      <c r="I22" s="876"/>
      <c r="J22" s="898"/>
      <c r="K22" s="895"/>
      <c r="L22" s="876"/>
      <c r="M22" s="876"/>
      <c r="N22" s="898"/>
      <c r="O22" s="901"/>
      <c r="P22" s="902"/>
      <c r="Q22" s="876"/>
      <c r="R22" s="906"/>
      <c r="S22" s="571"/>
    </row>
    <row r="23" spans="1:19">
      <c r="A23" s="845"/>
      <c r="B23" s="874"/>
      <c r="C23" s="874"/>
      <c r="D23" s="875"/>
      <c r="E23" s="851"/>
      <c r="F23" s="914"/>
      <c r="G23" s="896"/>
      <c r="H23" s="880"/>
      <c r="I23" s="880" t="s">
        <v>441</v>
      </c>
      <c r="J23" s="909"/>
      <c r="K23" s="880"/>
      <c r="L23" s="881" t="s">
        <v>442</v>
      </c>
      <c r="M23" s="881"/>
      <c r="N23" s="882"/>
      <c r="O23" s="883" t="s">
        <v>43</v>
      </c>
      <c r="P23" s="915"/>
      <c r="Q23" s="878"/>
      <c r="R23" s="908"/>
      <c r="S23" s="571"/>
    </row>
    <row r="24" spans="1:19">
      <c r="A24" s="845"/>
      <c r="B24" s="876"/>
      <c r="C24" s="876"/>
      <c r="D24" s="877"/>
      <c r="E24" s="851"/>
      <c r="F24" s="575"/>
      <c r="G24" s="885"/>
      <c r="H24" s="886"/>
      <c r="I24" s="886"/>
      <c r="J24" s="887"/>
      <c r="K24" s="910"/>
      <c r="L24" s="910"/>
      <c r="M24" s="910"/>
      <c r="N24" s="910"/>
      <c r="O24" s="885"/>
      <c r="P24" s="886"/>
      <c r="Q24" s="885"/>
      <c r="R24" s="916"/>
      <c r="S24" s="571"/>
    </row>
    <row r="25" spans="1:19">
      <c r="A25" s="845"/>
      <c r="B25" s="878"/>
      <c r="C25" s="878"/>
      <c r="D25" s="879"/>
      <c r="E25" s="851"/>
      <c r="F25" s="889" t="s">
        <v>440</v>
      </c>
      <c r="G25" s="892" t="s">
        <v>440</v>
      </c>
      <c r="H25" s="893"/>
      <c r="I25" s="918"/>
      <c r="J25" s="919"/>
      <c r="K25" s="892" t="s">
        <v>440</v>
      </c>
      <c r="L25" s="874"/>
      <c r="M25" s="874"/>
      <c r="N25" s="874"/>
      <c r="O25" s="917"/>
      <c r="P25" s="900"/>
      <c r="Q25" s="903"/>
      <c r="R25" s="904"/>
      <c r="S25" s="571"/>
    </row>
    <row r="26" spans="1:19">
      <c r="A26" s="845"/>
      <c r="B26" s="873"/>
      <c r="C26" s="873"/>
      <c r="D26" s="873"/>
      <c r="E26" s="851"/>
      <c r="F26" s="890"/>
      <c r="G26" s="894"/>
      <c r="H26" s="895"/>
      <c r="I26" s="920"/>
      <c r="J26" s="921"/>
      <c r="K26" s="894"/>
      <c r="L26" s="876"/>
      <c r="M26" s="876"/>
      <c r="N26" s="876"/>
      <c r="O26" s="901"/>
      <c r="P26" s="902"/>
      <c r="Q26" s="905"/>
      <c r="R26" s="906"/>
      <c r="S26" s="571"/>
    </row>
    <row r="27" spans="1:19">
      <c r="A27" s="845"/>
      <c r="B27" s="874"/>
      <c r="C27" s="874"/>
      <c r="D27" s="875"/>
      <c r="E27" s="851"/>
      <c r="F27" s="891"/>
      <c r="G27" s="896"/>
      <c r="H27" s="880"/>
      <c r="I27" s="880" t="s">
        <v>441</v>
      </c>
      <c r="J27" s="909"/>
      <c r="K27" s="896"/>
      <c r="L27" s="881" t="s">
        <v>442</v>
      </c>
      <c r="M27" s="881"/>
      <c r="N27" s="882"/>
      <c r="O27" s="883" t="s">
        <v>43</v>
      </c>
      <c r="P27" s="884"/>
      <c r="Q27" s="907"/>
      <c r="R27" s="908"/>
      <c r="S27" s="571"/>
    </row>
    <row r="28" spans="1:19">
      <c r="A28" s="845"/>
      <c r="B28" s="876"/>
      <c r="C28" s="876"/>
      <c r="D28" s="877"/>
      <c r="E28" s="851"/>
      <c r="F28" s="576"/>
      <c r="G28" s="910"/>
      <c r="H28" s="910"/>
      <c r="I28" s="910"/>
      <c r="J28" s="910"/>
      <c r="K28" s="885"/>
      <c r="L28" s="886"/>
      <c r="M28" s="886"/>
      <c r="N28" s="887"/>
      <c r="O28" s="885"/>
      <c r="P28" s="887"/>
      <c r="Q28" s="910"/>
      <c r="R28" s="911"/>
      <c r="S28" s="571"/>
    </row>
    <row r="29" spans="1:19">
      <c r="A29" s="845"/>
      <c r="B29" s="878"/>
      <c r="C29" s="878"/>
      <c r="D29" s="879"/>
      <c r="E29" s="851"/>
      <c r="F29" s="912" t="s">
        <v>440</v>
      </c>
      <c r="G29" s="892" t="s">
        <v>440</v>
      </c>
      <c r="H29" s="893"/>
      <c r="I29" s="874"/>
      <c r="J29" s="897"/>
      <c r="K29" s="892" t="s">
        <v>440</v>
      </c>
      <c r="L29" s="874"/>
      <c r="M29" s="874"/>
      <c r="N29" s="897"/>
      <c r="O29" s="917"/>
      <c r="P29" s="900"/>
      <c r="Q29" s="903"/>
      <c r="R29" s="904"/>
      <c r="S29" s="571"/>
    </row>
    <row r="30" spans="1:19">
      <c r="A30" s="845"/>
      <c r="B30" s="922"/>
      <c r="C30" s="922"/>
      <c r="D30" s="922"/>
      <c r="E30" s="851"/>
      <c r="F30" s="913"/>
      <c r="G30" s="894"/>
      <c r="H30" s="895"/>
      <c r="I30" s="876"/>
      <c r="J30" s="898"/>
      <c r="K30" s="894"/>
      <c r="L30" s="876"/>
      <c r="M30" s="876"/>
      <c r="N30" s="898"/>
      <c r="O30" s="901"/>
      <c r="P30" s="902"/>
      <c r="Q30" s="905"/>
      <c r="R30" s="906"/>
      <c r="S30" s="571"/>
    </row>
    <row r="31" spans="1:19">
      <c r="A31" s="845"/>
      <c r="B31" s="923"/>
      <c r="C31" s="923"/>
      <c r="D31" s="924"/>
      <c r="E31" s="851"/>
      <c r="F31" s="914"/>
      <c r="G31" s="896"/>
      <c r="H31" s="880"/>
      <c r="I31" s="880" t="s">
        <v>441</v>
      </c>
      <c r="J31" s="880"/>
      <c r="K31" s="896"/>
      <c r="L31" s="881" t="s">
        <v>442</v>
      </c>
      <c r="M31" s="881"/>
      <c r="N31" s="882"/>
      <c r="O31" s="884" t="s">
        <v>43</v>
      </c>
      <c r="P31" s="884"/>
      <c r="Q31" s="907"/>
      <c r="R31" s="908"/>
      <c r="S31" s="571"/>
    </row>
    <row r="32" spans="1:19">
      <c r="A32" s="845"/>
      <c r="B32" s="925"/>
      <c r="C32" s="925"/>
      <c r="D32" s="926"/>
      <c r="E32" s="851"/>
      <c r="F32" s="927" t="s">
        <v>443</v>
      </c>
      <c r="G32" s="927"/>
      <c r="H32" s="927"/>
      <c r="I32" s="927"/>
      <c r="J32" s="927"/>
      <c r="K32" s="927"/>
      <c r="L32" s="927"/>
      <c r="M32" s="927"/>
      <c r="N32" s="927"/>
      <c r="O32" s="929">
        <f>SUM(O13:O29)</f>
        <v>0</v>
      </c>
      <c r="P32" s="930"/>
      <c r="Q32" s="876"/>
      <c r="R32" s="906"/>
      <c r="S32" s="571"/>
    </row>
    <row r="33" spans="1:20" ht="14.25" thickBot="1">
      <c r="A33" s="846"/>
      <c r="B33" s="925"/>
      <c r="C33" s="925"/>
      <c r="D33" s="926"/>
      <c r="E33" s="851"/>
      <c r="F33" s="928"/>
      <c r="G33" s="928"/>
      <c r="H33" s="928"/>
      <c r="I33" s="928"/>
      <c r="J33" s="928"/>
      <c r="K33" s="928"/>
      <c r="L33" s="928"/>
      <c r="M33" s="928"/>
      <c r="N33" s="928"/>
      <c r="O33" s="931"/>
      <c r="P33" s="932"/>
      <c r="Q33" s="876"/>
      <c r="R33" s="906"/>
      <c r="S33" s="571"/>
    </row>
    <row r="34" spans="1:20" ht="18.75" customHeight="1" thickTop="1">
      <c r="A34" s="934" t="s">
        <v>444</v>
      </c>
      <c r="B34" s="935"/>
      <c r="C34" s="936"/>
      <c r="D34" s="936"/>
      <c r="E34" s="936"/>
      <c r="F34" s="936"/>
      <c r="G34" s="936"/>
      <c r="H34" s="936"/>
      <c r="I34" s="936"/>
      <c r="J34" s="936"/>
      <c r="K34" s="936"/>
      <c r="L34" s="936"/>
      <c r="M34" s="936"/>
      <c r="N34" s="936"/>
      <c r="O34" s="936"/>
      <c r="P34" s="936"/>
      <c r="Q34" s="936"/>
      <c r="R34" s="937"/>
      <c r="S34" s="571"/>
    </row>
    <row r="35" spans="1:20" ht="208.5" customHeight="1" thickBot="1">
      <c r="A35" s="934"/>
      <c r="B35" s="938" t="s">
        <v>445</v>
      </c>
      <c r="C35" s="939"/>
      <c r="D35" s="939"/>
      <c r="E35" s="939"/>
      <c r="F35" s="939"/>
      <c r="G35" s="939"/>
      <c r="H35" s="939"/>
      <c r="I35" s="939"/>
      <c r="J35" s="939"/>
      <c r="K35" s="939"/>
      <c r="L35" s="939"/>
      <c r="M35" s="939"/>
      <c r="N35" s="939"/>
      <c r="O35" s="939"/>
      <c r="P35" s="939"/>
      <c r="Q35" s="939"/>
      <c r="R35" s="940"/>
      <c r="S35" s="571"/>
    </row>
    <row r="36" spans="1:20" ht="126" customHeight="1" thickTop="1" thickBot="1">
      <c r="A36" s="941" t="s">
        <v>446</v>
      </c>
      <c r="B36" s="942"/>
      <c r="C36" s="942"/>
      <c r="D36" s="942"/>
      <c r="E36" s="942"/>
      <c r="F36" s="942"/>
      <c r="G36" s="942"/>
      <c r="H36" s="942"/>
      <c r="I36" s="942"/>
      <c r="J36" s="942"/>
      <c r="K36" s="942"/>
      <c r="L36" s="942"/>
      <c r="M36" s="942"/>
      <c r="N36" s="942"/>
      <c r="O36" s="942"/>
      <c r="P36" s="942"/>
      <c r="Q36" s="942"/>
      <c r="R36" s="943"/>
      <c r="S36" s="571"/>
    </row>
    <row r="37" spans="1:20" ht="8.25" customHeight="1">
      <c r="A37" s="577"/>
      <c r="B37" s="577"/>
      <c r="C37" s="577"/>
      <c r="D37" s="577"/>
      <c r="E37" s="577"/>
      <c r="F37" s="577"/>
      <c r="G37" s="577"/>
      <c r="H37" s="577"/>
      <c r="I37" s="577"/>
      <c r="J37" s="577"/>
      <c r="K37" s="577"/>
      <c r="L37" s="577"/>
      <c r="M37" s="577"/>
      <c r="N37" s="577"/>
      <c r="O37" s="577"/>
      <c r="P37" s="577"/>
      <c r="Q37" s="577"/>
      <c r="R37" s="577"/>
      <c r="S37" s="571"/>
    </row>
    <row r="38" spans="1:20">
      <c r="B38" s="578"/>
      <c r="C38" s="571"/>
      <c r="D38" s="571"/>
      <c r="E38" s="571"/>
      <c r="F38" s="571"/>
      <c r="G38" s="571"/>
      <c r="H38" s="571"/>
      <c r="I38" s="571"/>
      <c r="J38" s="571"/>
      <c r="K38" s="578"/>
      <c r="L38" s="571"/>
      <c r="M38" s="578"/>
      <c r="N38" s="571"/>
      <c r="O38" s="571"/>
      <c r="P38" s="571"/>
      <c r="Q38" s="571"/>
      <c r="R38" s="571"/>
      <c r="S38" s="571"/>
      <c r="T38" s="574"/>
    </row>
    <row r="39" spans="1:20" ht="22.5" customHeight="1">
      <c r="K39" s="944"/>
      <c r="L39" s="945"/>
      <c r="M39" s="944"/>
      <c r="N39" s="945"/>
      <c r="O39" s="579"/>
      <c r="P39" s="579"/>
      <c r="Q39" s="946"/>
      <c r="R39" s="946"/>
    </row>
    <row r="40" spans="1:20" ht="45" customHeight="1">
      <c r="K40" s="933"/>
      <c r="L40" s="933"/>
      <c r="M40" s="933"/>
      <c r="N40" s="933"/>
      <c r="O40" s="580"/>
      <c r="P40" s="580"/>
      <c r="Q40" s="581"/>
      <c r="R40" s="581"/>
      <c r="S40" s="582"/>
    </row>
    <row r="41" spans="1:20">
      <c r="A41" s="583"/>
      <c r="P41" s="582"/>
      <c r="Q41" s="582"/>
      <c r="R41" s="582"/>
    </row>
    <row r="42" spans="1:20">
      <c r="A42" s="583"/>
    </row>
    <row r="43" spans="1:20">
      <c r="A43" s="583"/>
    </row>
    <row r="81" spans="1:18">
      <c r="A81" s="582"/>
      <c r="B81" s="582"/>
      <c r="C81" s="582"/>
      <c r="D81" s="582"/>
      <c r="E81" s="582"/>
    </row>
    <row r="82" spans="1:18">
      <c r="A82" s="582"/>
      <c r="B82" s="582"/>
      <c r="C82" s="582"/>
      <c r="D82" s="582"/>
      <c r="E82" s="582"/>
      <c r="F82" s="582"/>
      <c r="G82" s="582"/>
      <c r="H82" s="582"/>
      <c r="I82" s="582"/>
      <c r="J82" s="582"/>
      <c r="K82" s="582"/>
      <c r="L82" s="582"/>
      <c r="M82" s="582"/>
      <c r="N82" s="582"/>
      <c r="O82" s="582"/>
      <c r="P82" s="582"/>
      <c r="Q82" s="582"/>
      <c r="R82" s="582"/>
    </row>
    <row r="83" spans="1:18">
      <c r="A83" s="582"/>
      <c r="B83" s="582"/>
      <c r="C83" s="582"/>
      <c r="D83" s="582"/>
      <c r="E83" s="582"/>
      <c r="F83" s="582"/>
      <c r="G83" s="582"/>
      <c r="H83" s="582"/>
      <c r="I83" s="582"/>
      <c r="J83" s="582"/>
      <c r="K83" s="582"/>
      <c r="L83" s="582"/>
      <c r="M83" s="582"/>
      <c r="N83" s="582"/>
      <c r="O83" s="582"/>
      <c r="P83" s="582"/>
      <c r="Q83" s="582"/>
      <c r="R83" s="582"/>
    </row>
    <row r="84" spans="1:18">
      <c r="A84" s="582"/>
      <c r="B84" s="582"/>
      <c r="C84" s="582"/>
      <c r="D84" s="582"/>
      <c r="E84" s="582"/>
      <c r="F84" s="582"/>
      <c r="G84" s="582"/>
      <c r="H84" s="582"/>
      <c r="I84" s="582"/>
      <c r="J84" s="582"/>
      <c r="K84" s="582"/>
      <c r="L84" s="582"/>
      <c r="M84" s="582"/>
      <c r="N84" s="582"/>
      <c r="O84" s="582"/>
      <c r="P84" s="582"/>
      <c r="Q84" s="582"/>
      <c r="R84" s="582"/>
    </row>
    <row r="85" spans="1:18">
      <c r="A85" s="582"/>
      <c r="B85" s="582"/>
      <c r="C85" s="582"/>
      <c r="D85" s="582"/>
      <c r="E85" s="582"/>
      <c r="F85" s="582"/>
      <c r="G85" s="582"/>
      <c r="H85" s="582"/>
      <c r="I85" s="582"/>
      <c r="J85" s="582"/>
      <c r="K85" s="582"/>
      <c r="L85" s="582"/>
      <c r="M85" s="582"/>
      <c r="N85" s="582"/>
      <c r="O85" s="582"/>
      <c r="P85" s="582"/>
      <c r="Q85" s="582"/>
      <c r="R85" s="582"/>
    </row>
    <row r="86" spans="1:18">
      <c r="A86" s="582"/>
      <c r="B86" s="582"/>
      <c r="C86" s="582"/>
      <c r="D86" s="582"/>
      <c r="E86" s="582"/>
      <c r="F86" s="582"/>
      <c r="G86" s="582"/>
      <c r="H86" s="582"/>
      <c r="I86" s="582"/>
      <c r="J86" s="582"/>
      <c r="K86" s="582"/>
      <c r="L86" s="582"/>
      <c r="M86" s="582"/>
      <c r="N86" s="582"/>
      <c r="O86" s="582"/>
      <c r="P86" s="582"/>
      <c r="Q86" s="582"/>
      <c r="R86" s="582"/>
    </row>
    <row r="87" spans="1:18">
      <c r="A87" s="582"/>
      <c r="B87" s="582"/>
      <c r="C87" s="582"/>
      <c r="D87" s="582"/>
      <c r="E87" s="582"/>
      <c r="F87" s="582"/>
      <c r="G87" s="582"/>
      <c r="H87" s="582"/>
      <c r="I87" s="582"/>
      <c r="J87" s="582"/>
      <c r="K87" s="582"/>
      <c r="L87" s="582"/>
      <c r="M87" s="582"/>
      <c r="N87" s="582"/>
      <c r="O87" s="582"/>
      <c r="P87" s="582"/>
      <c r="Q87" s="582"/>
      <c r="R87" s="582"/>
    </row>
    <row r="88" spans="1:18">
      <c r="A88" s="582"/>
      <c r="B88" s="582"/>
      <c r="C88" s="582"/>
      <c r="D88" s="582"/>
      <c r="E88" s="582"/>
      <c r="F88" s="582"/>
      <c r="G88" s="582"/>
      <c r="H88" s="582"/>
      <c r="I88" s="582"/>
      <c r="J88" s="582"/>
      <c r="K88" s="582"/>
      <c r="L88" s="582"/>
      <c r="M88" s="582"/>
      <c r="N88" s="582"/>
      <c r="O88" s="582"/>
      <c r="P88" s="582"/>
      <c r="Q88" s="582"/>
      <c r="R88" s="582"/>
    </row>
    <row r="89" spans="1:18">
      <c r="A89" s="582"/>
      <c r="B89" s="582"/>
      <c r="C89" s="582"/>
      <c r="D89" s="582"/>
      <c r="E89" s="582"/>
      <c r="F89" s="582"/>
      <c r="G89" s="582"/>
      <c r="H89" s="582"/>
      <c r="I89" s="582"/>
      <c r="J89" s="582"/>
      <c r="K89" s="582"/>
      <c r="L89" s="582"/>
      <c r="M89" s="582"/>
      <c r="N89" s="582"/>
      <c r="O89" s="582"/>
      <c r="P89" s="582"/>
      <c r="Q89" s="582"/>
      <c r="R89" s="582"/>
    </row>
    <row r="90" spans="1:18">
      <c r="A90" s="582"/>
      <c r="B90" s="582"/>
      <c r="C90" s="582"/>
      <c r="D90" s="582"/>
      <c r="E90" s="582"/>
      <c r="F90" s="582"/>
      <c r="G90" s="582"/>
      <c r="H90" s="582"/>
      <c r="I90" s="582"/>
      <c r="J90" s="582"/>
      <c r="K90" s="582"/>
      <c r="L90" s="582"/>
      <c r="M90" s="582"/>
      <c r="N90" s="582"/>
      <c r="O90" s="582"/>
      <c r="P90" s="582"/>
      <c r="Q90" s="582"/>
      <c r="R90" s="582"/>
    </row>
    <row r="91" spans="1:18">
      <c r="A91" s="582"/>
      <c r="B91" s="582"/>
      <c r="C91" s="582"/>
      <c r="D91" s="582"/>
      <c r="E91" s="582"/>
      <c r="F91" s="582"/>
      <c r="G91" s="582"/>
      <c r="H91" s="582"/>
      <c r="I91" s="582"/>
      <c r="J91" s="582"/>
      <c r="K91" s="582"/>
      <c r="L91" s="582"/>
      <c r="M91" s="582"/>
      <c r="N91" s="582"/>
      <c r="O91" s="582"/>
      <c r="P91" s="582"/>
      <c r="Q91" s="582"/>
      <c r="R91" s="582"/>
    </row>
    <row r="92" spans="1:18">
      <c r="A92" s="582"/>
      <c r="B92" s="582"/>
      <c r="C92" s="582"/>
      <c r="D92" s="582"/>
      <c r="E92" s="582"/>
      <c r="F92" s="582"/>
      <c r="G92" s="582"/>
      <c r="H92" s="582"/>
      <c r="I92" s="582"/>
      <c r="J92" s="582"/>
      <c r="K92" s="582"/>
      <c r="L92" s="582"/>
      <c r="M92" s="582"/>
      <c r="N92" s="582"/>
      <c r="O92" s="582"/>
      <c r="P92" s="582"/>
      <c r="Q92" s="582"/>
      <c r="R92" s="582"/>
    </row>
    <row r="93" spans="1:18">
      <c r="A93" s="582"/>
      <c r="B93" s="582"/>
      <c r="C93" s="582"/>
      <c r="D93" s="582"/>
      <c r="E93" s="582"/>
      <c r="F93" s="582"/>
      <c r="G93" s="582"/>
      <c r="H93" s="582"/>
      <c r="I93" s="582"/>
      <c r="J93" s="582"/>
      <c r="K93" s="582"/>
      <c r="L93" s="582"/>
      <c r="M93" s="582"/>
      <c r="N93" s="582"/>
      <c r="O93" s="582"/>
      <c r="P93" s="582"/>
      <c r="Q93" s="582"/>
      <c r="R93" s="582"/>
    </row>
    <row r="94" spans="1:18">
      <c r="A94" s="582"/>
      <c r="B94" s="582"/>
      <c r="C94" s="582"/>
      <c r="D94" s="582"/>
      <c r="E94" s="582"/>
      <c r="F94" s="582"/>
      <c r="G94" s="582"/>
      <c r="H94" s="582"/>
      <c r="I94" s="582"/>
      <c r="J94" s="582"/>
      <c r="K94" s="582"/>
      <c r="L94" s="582"/>
      <c r="M94" s="582"/>
      <c r="N94" s="582"/>
      <c r="O94" s="582"/>
      <c r="P94" s="582"/>
      <c r="Q94" s="582"/>
      <c r="R94" s="582"/>
    </row>
    <row r="95" spans="1:18">
      <c r="A95" s="582"/>
      <c r="B95" s="582"/>
      <c r="C95" s="582"/>
      <c r="D95" s="582"/>
      <c r="E95" s="582"/>
      <c r="F95" s="582"/>
      <c r="G95" s="582"/>
      <c r="H95" s="582"/>
      <c r="I95" s="582"/>
      <c r="J95" s="582"/>
      <c r="K95" s="582"/>
      <c r="L95" s="582"/>
      <c r="M95" s="582"/>
      <c r="N95" s="582"/>
      <c r="O95" s="582"/>
      <c r="P95" s="582"/>
      <c r="Q95" s="582"/>
      <c r="R95" s="582"/>
    </row>
    <row r="96" spans="1:18">
      <c r="A96" s="582"/>
      <c r="B96" s="582"/>
      <c r="C96" s="582"/>
      <c r="D96" s="582"/>
      <c r="E96" s="582"/>
      <c r="F96" s="582"/>
      <c r="G96" s="582"/>
      <c r="H96" s="582"/>
      <c r="I96" s="582"/>
      <c r="J96" s="582"/>
      <c r="K96" s="582"/>
      <c r="L96" s="582"/>
      <c r="M96" s="582"/>
      <c r="N96" s="582"/>
      <c r="O96" s="582"/>
      <c r="P96" s="582"/>
      <c r="Q96" s="582"/>
      <c r="R96" s="582"/>
    </row>
    <row r="97" spans="1:18">
      <c r="A97" s="582"/>
      <c r="B97" s="582"/>
      <c r="C97" s="582"/>
      <c r="D97" s="582"/>
      <c r="E97" s="582"/>
      <c r="F97" s="582"/>
      <c r="G97" s="582"/>
      <c r="H97" s="582"/>
      <c r="I97" s="582"/>
      <c r="J97" s="582"/>
      <c r="K97" s="582"/>
      <c r="L97" s="582"/>
      <c r="M97" s="582"/>
      <c r="N97" s="582"/>
      <c r="O97" s="582"/>
      <c r="P97" s="582"/>
      <c r="Q97" s="582"/>
      <c r="R97" s="582"/>
    </row>
    <row r="98" spans="1:18">
      <c r="A98" s="582"/>
      <c r="B98" s="582"/>
      <c r="C98" s="582"/>
      <c r="D98" s="582"/>
      <c r="E98" s="582"/>
      <c r="F98" s="582"/>
      <c r="G98" s="582"/>
      <c r="H98" s="582"/>
      <c r="I98" s="582"/>
      <c r="J98" s="582"/>
      <c r="K98" s="582"/>
      <c r="L98" s="582"/>
      <c r="M98" s="582"/>
      <c r="N98" s="582"/>
      <c r="O98" s="582"/>
      <c r="P98" s="582"/>
      <c r="Q98" s="582"/>
      <c r="R98" s="582"/>
    </row>
    <row r="99" spans="1:18">
      <c r="A99" s="582"/>
      <c r="B99" s="582"/>
      <c r="C99" s="582"/>
      <c r="D99" s="582"/>
      <c r="E99" s="582"/>
      <c r="F99" s="582"/>
      <c r="G99" s="582"/>
      <c r="H99" s="582"/>
      <c r="I99" s="582"/>
      <c r="J99" s="582"/>
      <c r="K99" s="582"/>
      <c r="L99" s="582"/>
      <c r="M99" s="582"/>
      <c r="N99" s="582"/>
      <c r="O99" s="582"/>
      <c r="P99" s="582"/>
      <c r="Q99" s="582"/>
      <c r="R99" s="582"/>
    </row>
    <row r="100" spans="1:18">
      <c r="A100" s="582"/>
      <c r="B100" s="582"/>
      <c r="C100" s="582"/>
      <c r="D100" s="582"/>
      <c r="E100" s="582"/>
      <c r="F100" s="582"/>
      <c r="G100" s="582"/>
      <c r="H100" s="582"/>
      <c r="I100" s="582"/>
      <c r="J100" s="582"/>
      <c r="K100" s="582"/>
      <c r="L100" s="582"/>
      <c r="M100" s="582"/>
      <c r="N100" s="582"/>
      <c r="O100" s="582"/>
      <c r="P100" s="582"/>
      <c r="Q100" s="582"/>
      <c r="R100" s="582"/>
    </row>
  </sheetData>
  <mergeCells count="112">
    <mergeCell ref="K40:L40"/>
    <mergeCell ref="M40:N40"/>
    <mergeCell ref="Q32:R33"/>
    <mergeCell ref="A34:A35"/>
    <mergeCell ref="B34:R34"/>
    <mergeCell ref="B35:R35"/>
    <mergeCell ref="A36:R36"/>
    <mergeCell ref="K39:L39"/>
    <mergeCell ref="M39:N39"/>
    <mergeCell ref="Q39:R39"/>
    <mergeCell ref="B30:D30"/>
    <mergeCell ref="B31:D33"/>
    <mergeCell ref="I31:J31"/>
    <mergeCell ref="L31:N31"/>
    <mergeCell ref="O31:P31"/>
    <mergeCell ref="F32:N33"/>
    <mergeCell ref="O32:P33"/>
    <mergeCell ref="Q28:R28"/>
    <mergeCell ref="F29:F31"/>
    <mergeCell ref="G29:H31"/>
    <mergeCell ref="I29:J30"/>
    <mergeCell ref="K29:K31"/>
    <mergeCell ref="L29:N30"/>
    <mergeCell ref="O29:P30"/>
    <mergeCell ref="Q29:R31"/>
    <mergeCell ref="B26:D26"/>
    <mergeCell ref="B27:D29"/>
    <mergeCell ref="I27:J27"/>
    <mergeCell ref="L27:N27"/>
    <mergeCell ref="O27:P27"/>
    <mergeCell ref="G28:J28"/>
    <mergeCell ref="K28:N28"/>
    <mergeCell ref="O28:P28"/>
    <mergeCell ref="Q24:R24"/>
    <mergeCell ref="F25:F27"/>
    <mergeCell ref="G25:H27"/>
    <mergeCell ref="I25:J26"/>
    <mergeCell ref="K25:K27"/>
    <mergeCell ref="L25:N26"/>
    <mergeCell ref="O25:P26"/>
    <mergeCell ref="Q25:R27"/>
    <mergeCell ref="B22:D22"/>
    <mergeCell ref="B23:D25"/>
    <mergeCell ref="I23:J23"/>
    <mergeCell ref="L23:N23"/>
    <mergeCell ref="O23:P23"/>
    <mergeCell ref="G24:J24"/>
    <mergeCell ref="K24:N24"/>
    <mergeCell ref="O24:P24"/>
    <mergeCell ref="Q20:R20"/>
    <mergeCell ref="F21:F23"/>
    <mergeCell ref="G21:H23"/>
    <mergeCell ref="I21:J22"/>
    <mergeCell ref="K21:K23"/>
    <mergeCell ref="L21:N22"/>
    <mergeCell ref="O21:P22"/>
    <mergeCell ref="Q21:R23"/>
    <mergeCell ref="G13:H15"/>
    <mergeCell ref="I13:J14"/>
    <mergeCell ref="K13:K15"/>
    <mergeCell ref="L13:N14"/>
    <mergeCell ref="O13:P14"/>
    <mergeCell ref="Q13:R15"/>
    <mergeCell ref="B18:D18"/>
    <mergeCell ref="B19:D21"/>
    <mergeCell ref="I19:J19"/>
    <mergeCell ref="L19:N19"/>
    <mergeCell ref="O19:P19"/>
    <mergeCell ref="G20:J20"/>
    <mergeCell ref="K20:N20"/>
    <mergeCell ref="O20:P20"/>
    <mergeCell ref="Q16:R16"/>
    <mergeCell ref="F17:F19"/>
    <mergeCell ref="G17:H19"/>
    <mergeCell ref="I17:J18"/>
    <mergeCell ref="K17:K19"/>
    <mergeCell ref="L17:N18"/>
    <mergeCell ref="O17:P18"/>
    <mergeCell ref="Q17:R19"/>
    <mergeCell ref="B11:R11"/>
    <mergeCell ref="A12:A33"/>
    <mergeCell ref="B12:D13"/>
    <mergeCell ref="E12:E33"/>
    <mergeCell ref="G12:J12"/>
    <mergeCell ref="K12:N12"/>
    <mergeCell ref="O12:P12"/>
    <mergeCell ref="A7:B9"/>
    <mergeCell ref="D7:Q7"/>
    <mergeCell ref="C8:C9"/>
    <mergeCell ref="D8:G9"/>
    <mergeCell ref="H8:I9"/>
    <mergeCell ref="J8:P9"/>
    <mergeCell ref="Q8:Q9"/>
    <mergeCell ref="B14:D14"/>
    <mergeCell ref="B15:D17"/>
    <mergeCell ref="I15:J15"/>
    <mergeCell ref="L15:N15"/>
    <mergeCell ref="O15:P15"/>
    <mergeCell ref="G16:J16"/>
    <mergeCell ref="K16:N16"/>
    <mergeCell ref="O16:P16"/>
    <mergeCell ref="Q12:R12"/>
    <mergeCell ref="F13:F15"/>
    <mergeCell ref="A1:R1"/>
    <mergeCell ref="A2:R2"/>
    <mergeCell ref="A3:R3"/>
    <mergeCell ref="A4:R4"/>
    <mergeCell ref="A5:R5"/>
    <mergeCell ref="A6:R6"/>
    <mergeCell ref="R8:R9"/>
    <mergeCell ref="S8:S9"/>
    <mergeCell ref="A10:R10"/>
  </mergeCells>
  <phoneticPr fontId="3"/>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0"/>
  <sheetViews>
    <sheetView workbookViewId="0">
      <selection activeCell="U13" sqref="U13"/>
    </sheetView>
  </sheetViews>
  <sheetFormatPr defaultRowHeight="13.5"/>
  <cols>
    <col min="1" max="4" width="4.75" style="568" customWidth="1"/>
    <col min="5" max="5" width="3.875" style="568" customWidth="1"/>
    <col min="6" max="7" width="4.75" style="568" customWidth="1"/>
    <col min="8" max="8" width="4.25" style="568" customWidth="1"/>
    <col min="9" max="9" width="4.75" style="568" customWidth="1"/>
    <col min="10" max="10" width="9.25" style="568" customWidth="1"/>
    <col min="11" max="11" width="4.625" style="568" customWidth="1"/>
    <col min="12" max="12" width="5.125" style="568" customWidth="1"/>
    <col min="13" max="13" width="5.625" style="568" customWidth="1"/>
    <col min="14" max="14" width="4.125" style="568" customWidth="1"/>
    <col min="15" max="16" width="8.625" style="568" customWidth="1"/>
    <col min="17" max="18" width="7.375" style="568" customWidth="1"/>
    <col min="19" max="256" width="9" style="568"/>
    <col min="257" max="260" width="4.75" style="568" customWidth="1"/>
    <col min="261" max="261" width="3.875" style="568" customWidth="1"/>
    <col min="262" max="263" width="4.75" style="568" customWidth="1"/>
    <col min="264" max="264" width="4.25" style="568" customWidth="1"/>
    <col min="265" max="265" width="4.75" style="568" customWidth="1"/>
    <col min="266" max="266" width="9.25" style="568" customWidth="1"/>
    <col min="267" max="267" width="4.625" style="568" customWidth="1"/>
    <col min="268" max="268" width="5.125" style="568" customWidth="1"/>
    <col min="269" max="269" width="5.625" style="568" customWidth="1"/>
    <col min="270" max="270" width="4.125" style="568" customWidth="1"/>
    <col min="271" max="272" width="8.625" style="568" customWidth="1"/>
    <col min="273" max="274" width="7.375" style="568" customWidth="1"/>
    <col min="275" max="512" width="9" style="568"/>
    <col min="513" max="516" width="4.75" style="568" customWidth="1"/>
    <col min="517" max="517" width="3.875" style="568" customWidth="1"/>
    <col min="518" max="519" width="4.75" style="568" customWidth="1"/>
    <col min="520" max="520" width="4.25" style="568" customWidth="1"/>
    <col min="521" max="521" width="4.75" style="568" customWidth="1"/>
    <col min="522" max="522" width="9.25" style="568" customWidth="1"/>
    <col min="523" max="523" width="4.625" style="568" customWidth="1"/>
    <col min="524" max="524" width="5.125" style="568" customWidth="1"/>
    <col min="525" max="525" width="5.625" style="568" customWidth="1"/>
    <col min="526" max="526" width="4.125" style="568" customWidth="1"/>
    <col min="527" max="528" width="8.625" style="568" customWidth="1"/>
    <col min="529" max="530" width="7.375" style="568" customWidth="1"/>
    <col min="531" max="768" width="9" style="568"/>
    <col min="769" max="772" width="4.75" style="568" customWidth="1"/>
    <col min="773" max="773" width="3.875" style="568" customWidth="1"/>
    <col min="774" max="775" width="4.75" style="568" customWidth="1"/>
    <col min="776" max="776" width="4.25" style="568" customWidth="1"/>
    <col min="777" max="777" width="4.75" style="568" customWidth="1"/>
    <col min="778" max="778" width="9.25" style="568" customWidth="1"/>
    <col min="779" max="779" width="4.625" style="568" customWidth="1"/>
    <col min="780" max="780" width="5.125" style="568" customWidth="1"/>
    <col min="781" max="781" width="5.625" style="568" customWidth="1"/>
    <col min="782" max="782" width="4.125" style="568" customWidth="1"/>
    <col min="783" max="784" width="8.625" style="568" customWidth="1"/>
    <col min="785" max="786" width="7.375" style="568" customWidth="1"/>
    <col min="787" max="1024" width="9" style="568"/>
    <col min="1025" max="1028" width="4.75" style="568" customWidth="1"/>
    <col min="1029" max="1029" width="3.875" style="568" customWidth="1"/>
    <col min="1030" max="1031" width="4.75" style="568" customWidth="1"/>
    <col min="1032" max="1032" width="4.25" style="568" customWidth="1"/>
    <col min="1033" max="1033" width="4.75" style="568" customWidth="1"/>
    <col min="1034" max="1034" width="9.25" style="568" customWidth="1"/>
    <col min="1035" max="1035" width="4.625" style="568" customWidth="1"/>
    <col min="1036" max="1036" width="5.125" style="568" customWidth="1"/>
    <col min="1037" max="1037" width="5.625" style="568" customWidth="1"/>
    <col min="1038" max="1038" width="4.125" style="568" customWidth="1"/>
    <col min="1039" max="1040" width="8.625" style="568" customWidth="1"/>
    <col min="1041" max="1042" width="7.375" style="568" customWidth="1"/>
    <col min="1043" max="1280" width="9" style="568"/>
    <col min="1281" max="1284" width="4.75" style="568" customWidth="1"/>
    <col min="1285" max="1285" width="3.875" style="568" customWidth="1"/>
    <col min="1286" max="1287" width="4.75" style="568" customWidth="1"/>
    <col min="1288" max="1288" width="4.25" style="568" customWidth="1"/>
    <col min="1289" max="1289" width="4.75" style="568" customWidth="1"/>
    <col min="1290" max="1290" width="9.25" style="568" customWidth="1"/>
    <col min="1291" max="1291" width="4.625" style="568" customWidth="1"/>
    <col min="1292" max="1292" width="5.125" style="568" customWidth="1"/>
    <col min="1293" max="1293" width="5.625" style="568" customWidth="1"/>
    <col min="1294" max="1294" width="4.125" style="568" customWidth="1"/>
    <col min="1295" max="1296" width="8.625" style="568" customWidth="1"/>
    <col min="1297" max="1298" width="7.375" style="568" customWidth="1"/>
    <col min="1299" max="1536" width="9" style="568"/>
    <col min="1537" max="1540" width="4.75" style="568" customWidth="1"/>
    <col min="1541" max="1541" width="3.875" style="568" customWidth="1"/>
    <col min="1542" max="1543" width="4.75" style="568" customWidth="1"/>
    <col min="1544" max="1544" width="4.25" style="568" customWidth="1"/>
    <col min="1545" max="1545" width="4.75" style="568" customWidth="1"/>
    <col min="1546" max="1546" width="9.25" style="568" customWidth="1"/>
    <col min="1547" max="1547" width="4.625" style="568" customWidth="1"/>
    <col min="1548" max="1548" width="5.125" style="568" customWidth="1"/>
    <col min="1549" max="1549" width="5.625" style="568" customWidth="1"/>
    <col min="1550" max="1550" width="4.125" style="568" customWidth="1"/>
    <col min="1551" max="1552" width="8.625" style="568" customWidth="1"/>
    <col min="1553" max="1554" width="7.375" style="568" customWidth="1"/>
    <col min="1555" max="1792" width="9" style="568"/>
    <col min="1793" max="1796" width="4.75" style="568" customWidth="1"/>
    <col min="1797" max="1797" width="3.875" style="568" customWidth="1"/>
    <col min="1798" max="1799" width="4.75" style="568" customWidth="1"/>
    <col min="1800" max="1800" width="4.25" style="568" customWidth="1"/>
    <col min="1801" max="1801" width="4.75" style="568" customWidth="1"/>
    <col min="1802" max="1802" width="9.25" style="568" customWidth="1"/>
    <col min="1803" max="1803" width="4.625" style="568" customWidth="1"/>
    <col min="1804" max="1804" width="5.125" style="568" customWidth="1"/>
    <col min="1805" max="1805" width="5.625" style="568" customWidth="1"/>
    <col min="1806" max="1806" width="4.125" style="568" customWidth="1"/>
    <col min="1807" max="1808" width="8.625" style="568" customWidth="1"/>
    <col min="1809" max="1810" width="7.375" style="568" customWidth="1"/>
    <col min="1811" max="2048" width="9" style="568"/>
    <col min="2049" max="2052" width="4.75" style="568" customWidth="1"/>
    <col min="2053" max="2053" width="3.875" style="568" customWidth="1"/>
    <col min="2054" max="2055" width="4.75" style="568" customWidth="1"/>
    <col min="2056" max="2056" width="4.25" style="568" customWidth="1"/>
    <col min="2057" max="2057" width="4.75" style="568" customWidth="1"/>
    <col min="2058" max="2058" width="9.25" style="568" customWidth="1"/>
    <col min="2059" max="2059" width="4.625" style="568" customWidth="1"/>
    <col min="2060" max="2060" width="5.125" style="568" customWidth="1"/>
    <col min="2061" max="2061" width="5.625" style="568" customWidth="1"/>
    <col min="2062" max="2062" width="4.125" style="568" customWidth="1"/>
    <col min="2063" max="2064" width="8.625" style="568" customWidth="1"/>
    <col min="2065" max="2066" width="7.375" style="568" customWidth="1"/>
    <col min="2067" max="2304" width="9" style="568"/>
    <col min="2305" max="2308" width="4.75" style="568" customWidth="1"/>
    <col min="2309" max="2309" width="3.875" style="568" customWidth="1"/>
    <col min="2310" max="2311" width="4.75" style="568" customWidth="1"/>
    <col min="2312" max="2312" width="4.25" style="568" customWidth="1"/>
    <col min="2313" max="2313" width="4.75" style="568" customWidth="1"/>
    <col min="2314" max="2314" width="9.25" style="568" customWidth="1"/>
    <col min="2315" max="2315" width="4.625" style="568" customWidth="1"/>
    <col min="2316" max="2316" width="5.125" style="568" customWidth="1"/>
    <col min="2317" max="2317" width="5.625" style="568" customWidth="1"/>
    <col min="2318" max="2318" width="4.125" style="568" customWidth="1"/>
    <col min="2319" max="2320" width="8.625" style="568" customWidth="1"/>
    <col min="2321" max="2322" width="7.375" style="568" customWidth="1"/>
    <col min="2323" max="2560" width="9" style="568"/>
    <col min="2561" max="2564" width="4.75" style="568" customWidth="1"/>
    <col min="2565" max="2565" width="3.875" style="568" customWidth="1"/>
    <col min="2566" max="2567" width="4.75" style="568" customWidth="1"/>
    <col min="2568" max="2568" width="4.25" style="568" customWidth="1"/>
    <col min="2569" max="2569" width="4.75" style="568" customWidth="1"/>
    <col min="2570" max="2570" width="9.25" style="568" customWidth="1"/>
    <col min="2571" max="2571" width="4.625" style="568" customWidth="1"/>
    <col min="2572" max="2572" width="5.125" style="568" customWidth="1"/>
    <col min="2573" max="2573" width="5.625" style="568" customWidth="1"/>
    <col min="2574" max="2574" width="4.125" style="568" customWidth="1"/>
    <col min="2575" max="2576" width="8.625" style="568" customWidth="1"/>
    <col min="2577" max="2578" width="7.375" style="568" customWidth="1"/>
    <col min="2579" max="2816" width="9" style="568"/>
    <col min="2817" max="2820" width="4.75" style="568" customWidth="1"/>
    <col min="2821" max="2821" width="3.875" style="568" customWidth="1"/>
    <col min="2822" max="2823" width="4.75" style="568" customWidth="1"/>
    <col min="2824" max="2824" width="4.25" style="568" customWidth="1"/>
    <col min="2825" max="2825" width="4.75" style="568" customWidth="1"/>
    <col min="2826" max="2826" width="9.25" style="568" customWidth="1"/>
    <col min="2827" max="2827" width="4.625" style="568" customWidth="1"/>
    <col min="2828" max="2828" width="5.125" style="568" customWidth="1"/>
    <col min="2829" max="2829" width="5.625" style="568" customWidth="1"/>
    <col min="2830" max="2830" width="4.125" style="568" customWidth="1"/>
    <col min="2831" max="2832" width="8.625" style="568" customWidth="1"/>
    <col min="2833" max="2834" width="7.375" style="568" customWidth="1"/>
    <col min="2835" max="3072" width="9" style="568"/>
    <col min="3073" max="3076" width="4.75" style="568" customWidth="1"/>
    <col min="3077" max="3077" width="3.875" style="568" customWidth="1"/>
    <col min="3078" max="3079" width="4.75" style="568" customWidth="1"/>
    <col min="3080" max="3080" width="4.25" style="568" customWidth="1"/>
    <col min="3081" max="3081" width="4.75" style="568" customWidth="1"/>
    <col min="3082" max="3082" width="9.25" style="568" customWidth="1"/>
    <col min="3083" max="3083" width="4.625" style="568" customWidth="1"/>
    <col min="3084" max="3084" width="5.125" style="568" customWidth="1"/>
    <col min="3085" max="3085" width="5.625" style="568" customWidth="1"/>
    <col min="3086" max="3086" width="4.125" style="568" customWidth="1"/>
    <col min="3087" max="3088" width="8.625" style="568" customWidth="1"/>
    <col min="3089" max="3090" width="7.375" style="568" customWidth="1"/>
    <col min="3091" max="3328" width="9" style="568"/>
    <col min="3329" max="3332" width="4.75" style="568" customWidth="1"/>
    <col min="3333" max="3333" width="3.875" style="568" customWidth="1"/>
    <col min="3334" max="3335" width="4.75" style="568" customWidth="1"/>
    <col min="3336" max="3336" width="4.25" style="568" customWidth="1"/>
    <col min="3337" max="3337" width="4.75" style="568" customWidth="1"/>
    <col min="3338" max="3338" width="9.25" style="568" customWidth="1"/>
    <col min="3339" max="3339" width="4.625" style="568" customWidth="1"/>
    <col min="3340" max="3340" width="5.125" style="568" customWidth="1"/>
    <col min="3341" max="3341" width="5.625" style="568" customWidth="1"/>
    <col min="3342" max="3342" width="4.125" style="568" customWidth="1"/>
    <col min="3343" max="3344" width="8.625" style="568" customWidth="1"/>
    <col min="3345" max="3346" width="7.375" style="568" customWidth="1"/>
    <col min="3347" max="3584" width="9" style="568"/>
    <col min="3585" max="3588" width="4.75" style="568" customWidth="1"/>
    <col min="3589" max="3589" width="3.875" style="568" customWidth="1"/>
    <col min="3590" max="3591" width="4.75" style="568" customWidth="1"/>
    <col min="3592" max="3592" width="4.25" style="568" customWidth="1"/>
    <col min="3593" max="3593" width="4.75" style="568" customWidth="1"/>
    <col min="3594" max="3594" width="9.25" style="568" customWidth="1"/>
    <col min="3595" max="3595" width="4.625" style="568" customWidth="1"/>
    <col min="3596" max="3596" width="5.125" style="568" customWidth="1"/>
    <col min="3597" max="3597" width="5.625" style="568" customWidth="1"/>
    <col min="3598" max="3598" width="4.125" style="568" customWidth="1"/>
    <col min="3599" max="3600" width="8.625" style="568" customWidth="1"/>
    <col min="3601" max="3602" width="7.375" style="568" customWidth="1"/>
    <col min="3603" max="3840" width="9" style="568"/>
    <col min="3841" max="3844" width="4.75" style="568" customWidth="1"/>
    <col min="3845" max="3845" width="3.875" style="568" customWidth="1"/>
    <col min="3846" max="3847" width="4.75" style="568" customWidth="1"/>
    <col min="3848" max="3848" width="4.25" style="568" customWidth="1"/>
    <col min="3849" max="3849" width="4.75" style="568" customWidth="1"/>
    <col min="3850" max="3850" width="9.25" style="568" customWidth="1"/>
    <col min="3851" max="3851" width="4.625" style="568" customWidth="1"/>
    <col min="3852" max="3852" width="5.125" style="568" customWidth="1"/>
    <col min="3853" max="3853" width="5.625" style="568" customWidth="1"/>
    <col min="3854" max="3854" width="4.125" style="568" customWidth="1"/>
    <col min="3855" max="3856" width="8.625" style="568" customWidth="1"/>
    <col min="3857" max="3858" width="7.375" style="568" customWidth="1"/>
    <col min="3859" max="4096" width="9" style="568"/>
    <col min="4097" max="4100" width="4.75" style="568" customWidth="1"/>
    <col min="4101" max="4101" width="3.875" style="568" customWidth="1"/>
    <col min="4102" max="4103" width="4.75" style="568" customWidth="1"/>
    <col min="4104" max="4104" width="4.25" style="568" customWidth="1"/>
    <col min="4105" max="4105" width="4.75" style="568" customWidth="1"/>
    <col min="4106" max="4106" width="9.25" style="568" customWidth="1"/>
    <col min="4107" max="4107" width="4.625" style="568" customWidth="1"/>
    <col min="4108" max="4108" width="5.125" style="568" customWidth="1"/>
    <col min="4109" max="4109" width="5.625" style="568" customWidth="1"/>
    <col min="4110" max="4110" width="4.125" style="568" customWidth="1"/>
    <col min="4111" max="4112" width="8.625" style="568" customWidth="1"/>
    <col min="4113" max="4114" width="7.375" style="568" customWidth="1"/>
    <col min="4115" max="4352" width="9" style="568"/>
    <col min="4353" max="4356" width="4.75" style="568" customWidth="1"/>
    <col min="4357" max="4357" width="3.875" style="568" customWidth="1"/>
    <col min="4358" max="4359" width="4.75" style="568" customWidth="1"/>
    <col min="4360" max="4360" width="4.25" style="568" customWidth="1"/>
    <col min="4361" max="4361" width="4.75" style="568" customWidth="1"/>
    <col min="4362" max="4362" width="9.25" style="568" customWidth="1"/>
    <col min="4363" max="4363" width="4.625" style="568" customWidth="1"/>
    <col min="4364" max="4364" width="5.125" style="568" customWidth="1"/>
    <col min="4365" max="4365" width="5.625" style="568" customWidth="1"/>
    <col min="4366" max="4366" width="4.125" style="568" customWidth="1"/>
    <col min="4367" max="4368" width="8.625" style="568" customWidth="1"/>
    <col min="4369" max="4370" width="7.375" style="568" customWidth="1"/>
    <col min="4371" max="4608" width="9" style="568"/>
    <col min="4609" max="4612" width="4.75" style="568" customWidth="1"/>
    <col min="4613" max="4613" width="3.875" style="568" customWidth="1"/>
    <col min="4614" max="4615" width="4.75" style="568" customWidth="1"/>
    <col min="4616" max="4616" width="4.25" style="568" customWidth="1"/>
    <col min="4617" max="4617" width="4.75" style="568" customWidth="1"/>
    <col min="4618" max="4618" width="9.25" style="568" customWidth="1"/>
    <col min="4619" max="4619" width="4.625" style="568" customWidth="1"/>
    <col min="4620" max="4620" width="5.125" style="568" customWidth="1"/>
    <col min="4621" max="4621" width="5.625" style="568" customWidth="1"/>
    <col min="4622" max="4622" width="4.125" style="568" customWidth="1"/>
    <col min="4623" max="4624" width="8.625" style="568" customWidth="1"/>
    <col min="4625" max="4626" width="7.375" style="568" customWidth="1"/>
    <col min="4627" max="4864" width="9" style="568"/>
    <col min="4865" max="4868" width="4.75" style="568" customWidth="1"/>
    <col min="4869" max="4869" width="3.875" style="568" customWidth="1"/>
    <col min="4870" max="4871" width="4.75" style="568" customWidth="1"/>
    <col min="4872" max="4872" width="4.25" style="568" customWidth="1"/>
    <col min="4873" max="4873" width="4.75" style="568" customWidth="1"/>
    <col min="4874" max="4874" width="9.25" style="568" customWidth="1"/>
    <col min="4875" max="4875" width="4.625" style="568" customWidth="1"/>
    <col min="4876" max="4876" width="5.125" style="568" customWidth="1"/>
    <col min="4877" max="4877" width="5.625" style="568" customWidth="1"/>
    <col min="4878" max="4878" width="4.125" style="568" customWidth="1"/>
    <col min="4879" max="4880" width="8.625" style="568" customWidth="1"/>
    <col min="4881" max="4882" width="7.375" style="568" customWidth="1"/>
    <col min="4883" max="5120" width="9" style="568"/>
    <col min="5121" max="5124" width="4.75" style="568" customWidth="1"/>
    <col min="5125" max="5125" width="3.875" style="568" customWidth="1"/>
    <col min="5126" max="5127" width="4.75" style="568" customWidth="1"/>
    <col min="5128" max="5128" width="4.25" style="568" customWidth="1"/>
    <col min="5129" max="5129" width="4.75" style="568" customWidth="1"/>
    <col min="5130" max="5130" width="9.25" style="568" customWidth="1"/>
    <col min="5131" max="5131" width="4.625" style="568" customWidth="1"/>
    <col min="5132" max="5132" width="5.125" style="568" customWidth="1"/>
    <col min="5133" max="5133" width="5.625" style="568" customWidth="1"/>
    <col min="5134" max="5134" width="4.125" style="568" customWidth="1"/>
    <col min="5135" max="5136" width="8.625" style="568" customWidth="1"/>
    <col min="5137" max="5138" width="7.375" style="568" customWidth="1"/>
    <col min="5139" max="5376" width="9" style="568"/>
    <col min="5377" max="5380" width="4.75" style="568" customWidth="1"/>
    <col min="5381" max="5381" width="3.875" style="568" customWidth="1"/>
    <col min="5382" max="5383" width="4.75" style="568" customWidth="1"/>
    <col min="5384" max="5384" width="4.25" style="568" customWidth="1"/>
    <col min="5385" max="5385" width="4.75" style="568" customWidth="1"/>
    <col min="5386" max="5386" width="9.25" style="568" customWidth="1"/>
    <col min="5387" max="5387" width="4.625" style="568" customWidth="1"/>
    <col min="5388" max="5388" width="5.125" style="568" customWidth="1"/>
    <col min="5389" max="5389" width="5.625" style="568" customWidth="1"/>
    <col min="5390" max="5390" width="4.125" style="568" customWidth="1"/>
    <col min="5391" max="5392" width="8.625" style="568" customWidth="1"/>
    <col min="5393" max="5394" width="7.375" style="568" customWidth="1"/>
    <col min="5395" max="5632" width="9" style="568"/>
    <col min="5633" max="5636" width="4.75" style="568" customWidth="1"/>
    <col min="5637" max="5637" width="3.875" style="568" customWidth="1"/>
    <col min="5638" max="5639" width="4.75" style="568" customWidth="1"/>
    <col min="5640" max="5640" width="4.25" style="568" customWidth="1"/>
    <col min="5641" max="5641" width="4.75" style="568" customWidth="1"/>
    <col min="5642" max="5642" width="9.25" style="568" customWidth="1"/>
    <col min="5643" max="5643" width="4.625" style="568" customWidth="1"/>
    <col min="5644" max="5644" width="5.125" style="568" customWidth="1"/>
    <col min="5645" max="5645" width="5.625" style="568" customWidth="1"/>
    <col min="5646" max="5646" width="4.125" style="568" customWidth="1"/>
    <col min="5647" max="5648" width="8.625" style="568" customWidth="1"/>
    <col min="5649" max="5650" width="7.375" style="568" customWidth="1"/>
    <col min="5651" max="5888" width="9" style="568"/>
    <col min="5889" max="5892" width="4.75" style="568" customWidth="1"/>
    <col min="5893" max="5893" width="3.875" style="568" customWidth="1"/>
    <col min="5894" max="5895" width="4.75" style="568" customWidth="1"/>
    <col min="5896" max="5896" width="4.25" style="568" customWidth="1"/>
    <col min="5897" max="5897" width="4.75" style="568" customWidth="1"/>
    <col min="5898" max="5898" width="9.25" style="568" customWidth="1"/>
    <col min="5899" max="5899" width="4.625" style="568" customWidth="1"/>
    <col min="5900" max="5900" width="5.125" style="568" customWidth="1"/>
    <col min="5901" max="5901" width="5.625" style="568" customWidth="1"/>
    <col min="5902" max="5902" width="4.125" style="568" customWidth="1"/>
    <col min="5903" max="5904" width="8.625" style="568" customWidth="1"/>
    <col min="5905" max="5906" width="7.375" style="568" customWidth="1"/>
    <col min="5907" max="6144" width="9" style="568"/>
    <col min="6145" max="6148" width="4.75" style="568" customWidth="1"/>
    <col min="6149" max="6149" width="3.875" style="568" customWidth="1"/>
    <col min="6150" max="6151" width="4.75" style="568" customWidth="1"/>
    <col min="6152" max="6152" width="4.25" style="568" customWidth="1"/>
    <col min="6153" max="6153" width="4.75" style="568" customWidth="1"/>
    <col min="6154" max="6154" width="9.25" style="568" customWidth="1"/>
    <col min="6155" max="6155" width="4.625" style="568" customWidth="1"/>
    <col min="6156" max="6156" width="5.125" style="568" customWidth="1"/>
    <col min="6157" max="6157" width="5.625" style="568" customWidth="1"/>
    <col min="6158" max="6158" width="4.125" style="568" customWidth="1"/>
    <col min="6159" max="6160" width="8.625" style="568" customWidth="1"/>
    <col min="6161" max="6162" width="7.375" style="568" customWidth="1"/>
    <col min="6163" max="6400" width="9" style="568"/>
    <col min="6401" max="6404" width="4.75" style="568" customWidth="1"/>
    <col min="6405" max="6405" width="3.875" style="568" customWidth="1"/>
    <col min="6406" max="6407" width="4.75" style="568" customWidth="1"/>
    <col min="6408" max="6408" width="4.25" style="568" customWidth="1"/>
    <col min="6409" max="6409" width="4.75" style="568" customWidth="1"/>
    <col min="6410" max="6410" width="9.25" style="568" customWidth="1"/>
    <col min="6411" max="6411" width="4.625" style="568" customWidth="1"/>
    <col min="6412" max="6412" width="5.125" style="568" customWidth="1"/>
    <col min="6413" max="6413" width="5.625" style="568" customWidth="1"/>
    <col min="6414" max="6414" width="4.125" style="568" customWidth="1"/>
    <col min="6415" max="6416" width="8.625" style="568" customWidth="1"/>
    <col min="6417" max="6418" width="7.375" style="568" customWidth="1"/>
    <col min="6419" max="6656" width="9" style="568"/>
    <col min="6657" max="6660" width="4.75" style="568" customWidth="1"/>
    <col min="6661" max="6661" width="3.875" style="568" customWidth="1"/>
    <col min="6662" max="6663" width="4.75" style="568" customWidth="1"/>
    <col min="6664" max="6664" width="4.25" style="568" customWidth="1"/>
    <col min="6665" max="6665" width="4.75" style="568" customWidth="1"/>
    <col min="6666" max="6666" width="9.25" style="568" customWidth="1"/>
    <col min="6667" max="6667" width="4.625" style="568" customWidth="1"/>
    <col min="6668" max="6668" width="5.125" style="568" customWidth="1"/>
    <col min="6669" max="6669" width="5.625" style="568" customWidth="1"/>
    <col min="6670" max="6670" width="4.125" style="568" customWidth="1"/>
    <col min="6671" max="6672" width="8.625" style="568" customWidth="1"/>
    <col min="6673" max="6674" width="7.375" style="568" customWidth="1"/>
    <col min="6675" max="6912" width="9" style="568"/>
    <col min="6913" max="6916" width="4.75" style="568" customWidth="1"/>
    <col min="6917" max="6917" width="3.875" style="568" customWidth="1"/>
    <col min="6918" max="6919" width="4.75" style="568" customWidth="1"/>
    <col min="6920" max="6920" width="4.25" style="568" customWidth="1"/>
    <col min="6921" max="6921" width="4.75" style="568" customWidth="1"/>
    <col min="6922" max="6922" width="9.25" style="568" customWidth="1"/>
    <col min="6923" max="6923" width="4.625" style="568" customWidth="1"/>
    <col min="6924" max="6924" width="5.125" style="568" customWidth="1"/>
    <col min="6925" max="6925" width="5.625" style="568" customWidth="1"/>
    <col min="6926" max="6926" width="4.125" style="568" customWidth="1"/>
    <col min="6927" max="6928" width="8.625" style="568" customWidth="1"/>
    <col min="6929" max="6930" width="7.375" style="568" customWidth="1"/>
    <col min="6931" max="7168" width="9" style="568"/>
    <col min="7169" max="7172" width="4.75" style="568" customWidth="1"/>
    <col min="7173" max="7173" width="3.875" style="568" customWidth="1"/>
    <col min="7174" max="7175" width="4.75" style="568" customWidth="1"/>
    <col min="7176" max="7176" width="4.25" style="568" customWidth="1"/>
    <col min="7177" max="7177" width="4.75" style="568" customWidth="1"/>
    <col min="7178" max="7178" width="9.25" style="568" customWidth="1"/>
    <col min="7179" max="7179" width="4.625" style="568" customWidth="1"/>
    <col min="7180" max="7180" width="5.125" style="568" customWidth="1"/>
    <col min="7181" max="7181" width="5.625" style="568" customWidth="1"/>
    <col min="7182" max="7182" width="4.125" style="568" customWidth="1"/>
    <col min="7183" max="7184" width="8.625" style="568" customWidth="1"/>
    <col min="7185" max="7186" width="7.375" style="568" customWidth="1"/>
    <col min="7187" max="7424" width="9" style="568"/>
    <col min="7425" max="7428" width="4.75" style="568" customWidth="1"/>
    <col min="7429" max="7429" width="3.875" style="568" customWidth="1"/>
    <col min="7430" max="7431" width="4.75" style="568" customWidth="1"/>
    <col min="7432" max="7432" width="4.25" style="568" customWidth="1"/>
    <col min="7433" max="7433" width="4.75" style="568" customWidth="1"/>
    <col min="7434" max="7434" width="9.25" style="568" customWidth="1"/>
    <col min="7435" max="7435" width="4.625" style="568" customWidth="1"/>
    <col min="7436" max="7436" width="5.125" style="568" customWidth="1"/>
    <col min="7437" max="7437" width="5.625" style="568" customWidth="1"/>
    <col min="7438" max="7438" width="4.125" style="568" customWidth="1"/>
    <col min="7439" max="7440" width="8.625" style="568" customWidth="1"/>
    <col min="7441" max="7442" width="7.375" style="568" customWidth="1"/>
    <col min="7443" max="7680" width="9" style="568"/>
    <col min="7681" max="7684" width="4.75" style="568" customWidth="1"/>
    <col min="7685" max="7685" width="3.875" style="568" customWidth="1"/>
    <col min="7686" max="7687" width="4.75" style="568" customWidth="1"/>
    <col min="7688" max="7688" width="4.25" style="568" customWidth="1"/>
    <col min="7689" max="7689" width="4.75" style="568" customWidth="1"/>
    <col min="7690" max="7690" width="9.25" style="568" customWidth="1"/>
    <col min="7691" max="7691" width="4.625" style="568" customWidth="1"/>
    <col min="7692" max="7692" width="5.125" style="568" customWidth="1"/>
    <col min="7693" max="7693" width="5.625" style="568" customWidth="1"/>
    <col min="7694" max="7694" width="4.125" style="568" customWidth="1"/>
    <col min="7695" max="7696" width="8.625" style="568" customWidth="1"/>
    <col min="7697" max="7698" width="7.375" style="568" customWidth="1"/>
    <col min="7699" max="7936" width="9" style="568"/>
    <col min="7937" max="7940" width="4.75" style="568" customWidth="1"/>
    <col min="7941" max="7941" width="3.875" style="568" customWidth="1"/>
    <col min="7942" max="7943" width="4.75" style="568" customWidth="1"/>
    <col min="7944" max="7944" width="4.25" style="568" customWidth="1"/>
    <col min="7945" max="7945" width="4.75" style="568" customWidth="1"/>
    <col min="7946" max="7946" width="9.25" style="568" customWidth="1"/>
    <col min="7947" max="7947" width="4.625" style="568" customWidth="1"/>
    <col min="7948" max="7948" width="5.125" style="568" customWidth="1"/>
    <col min="7949" max="7949" width="5.625" style="568" customWidth="1"/>
    <col min="7950" max="7950" width="4.125" style="568" customWidth="1"/>
    <col min="7951" max="7952" width="8.625" style="568" customWidth="1"/>
    <col min="7953" max="7954" width="7.375" style="568" customWidth="1"/>
    <col min="7955" max="8192" width="9" style="568"/>
    <col min="8193" max="8196" width="4.75" style="568" customWidth="1"/>
    <col min="8197" max="8197" width="3.875" style="568" customWidth="1"/>
    <col min="8198" max="8199" width="4.75" style="568" customWidth="1"/>
    <col min="8200" max="8200" width="4.25" style="568" customWidth="1"/>
    <col min="8201" max="8201" width="4.75" style="568" customWidth="1"/>
    <col min="8202" max="8202" width="9.25" style="568" customWidth="1"/>
    <col min="8203" max="8203" width="4.625" style="568" customWidth="1"/>
    <col min="8204" max="8204" width="5.125" style="568" customWidth="1"/>
    <col min="8205" max="8205" width="5.625" style="568" customWidth="1"/>
    <col min="8206" max="8206" width="4.125" style="568" customWidth="1"/>
    <col min="8207" max="8208" width="8.625" style="568" customWidth="1"/>
    <col min="8209" max="8210" width="7.375" style="568" customWidth="1"/>
    <col min="8211" max="8448" width="9" style="568"/>
    <col min="8449" max="8452" width="4.75" style="568" customWidth="1"/>
    <col min="8453" max="8453" width="3.875" style="568" customWidth="1"/>
    <col min="8454" max="8455" width="4.75" style="568" customWidth="1"/>
    <col min="8456" max="8456" width="4.25" style="568" customWidth="1"/>
    <col min="8457" max="8457" width="4.75" style="568" customWidth="1"/>
    <col min="8458" max="8458" width="9.25" style="568" customWidth="1"/>
    <col min="8459" max="8459" width="4.625" style="568" customWidth="1"/>
    <col min="8460" max="8460" width="5.125" style="568" customWidth="1"/>
    <col min="8461" max="8461" width="5.625" style="568" customWidth="1"/>
    <col min="8462" max="8462" width="4.125" style="568" customWidth="1"/>
    <col min="8463" max="8464" width="8.625" style="568" customWidth="1"/>
    <col min="8465" max="8466" width="7.375" style="568" customWidth="1"/>
    <col min="8467" max="8704" width="9" style="568"/>
    <col min="8705" max="8708" width="4.75" style="568" customWidth="1"/>
    <col min="8709" max="8709" width="3.875" style="568" customWidth="1"/>
    <col min="8710" max="8711" width="4.75" style="568" customWidth="1"/>
    <col min="8712" max="8712" width="4.25" style="568" customWidth="1"/>
    <col min="8713" max="8713" width="4.75" style="568" customWidth="1"/>
    <col min="8714" max="8714" width="9.25" style="568" customWidth="1"/>
    <col min="8715" max="8715" width="4.625" style="568" customWidth="1"/>
    <col min="8716" max="8716" width="5.125" style="568" customWidth="1"/>
    <col min="8717" max="8717" width="5.625" style="568" customWidth="1"/>
    <col min="8718" max="8718" width="4.125" style="568" customWidth="1"/>
    <col min="8719" max="8720" width="8.625" style="568" customWidth="1"/>
    <col min="8721" max="8722" width="7.375" style="568" customWidth="1"/>
    <col min="8723" max="8960" width="9" style="568"/>
    <col min="8961" max="8964" width="4.75" style="568" customWidth="1"/>
    <col min="8965" max="8965" width="3.875" style="568" customWidth="1"/>
    <col min="8966" max="8967" width="4.75" style="568" customWidth="1"/>
    <col min="8968" max="8968" width="4.25" style="568" customWidth="1"/>
    <col min="8969" max="8969" width="4.75" style="568" customWidth="1"/>
    <col min="8970" max="8970" width="9.25" style="568" customWidth="1"/>
    <col min="8971" max="8971" width="4.625" style="568" customWidth="1"/>
    <col min="8972" max="8972" width="5.125" style="568" customWidth="1"/>
    <col min="8973" max="8973" width="5.625" style="568" customWidth="1"/>
    <col min="8974" max="8974" width="4.125" style="568" customWidth="1"/>
    <col min="8975" max="8976" width="8.625" style="568" customWidth="1"/>
    <col min="8977" max="8978" width="7.375" style="568" customWidth="1"/>
    <col min="8979" max="9216" width="9" style="568"/>
    <col min="9217" max="9220" width="4.75" style="568" customWidth="1"/>
    <col min="9221" max="9221" width="3.875" style="568" customWidth="1"/>
    <col min="9222" max="9223" width="4.75" style="568" customWidth="1"/>
    <col min="9224" max="9224" width="4.25" style="568" customWidth="1"/>
    <col min="9225" max="9225" width="4.75" style="568" customWidth="1"/>
    <col min="9226" max="9226" width="9.25" style="568" customWidth="1"/>
    <col min="9227" max="9227" width="4.625" style="568" customWidth="1"/>
    <col min="9228" max="9228" width="5.125" style="568" customWidth="1"/>
    <col min="9229" max="9229" width="5.625" style="568" customWidth="1"/>
    <col min="9230" max="9230" width="4.125" style="568" customWidth="1"/>
    <col min="9231" max="9232" width="8.625" style="568" customWidth="1"/>
    <col min="9233" max="9234" width="7.375" style="568" customWidth="1"/>
    <col min="9235" max="9472" width="9" style="568"/>
    <col min="9473" max="9476" width="4.75" style="568" customWidth="1"/>
    <col min="9477" max="9477" width="3.875" style="568" customWidth="1"/>
    <col min="9478" max="9479" width="4.75" style="568" customWidth="1"/>
    <col min="9480" max="9480" width="4.25" style="568" customWidth="1"/>
    <col min="9481" max="9481" width="4.75" style="568" customWidth="1"/>
    <col min="9482" max="9482" width="9.25" style="568" customWidth="1"/>
    <col min="9483" max="9483" width="4.625" style="568" customWidth="1"/>
    <col min="9484" max="9484" width="5.125" style="568" customWidth="1"/>
    <col min="9485" max="9485" width="5.625" style="568" customWidth="1"/>
    <col min="9486" max="9486" width="4.125" style="568" customWidth="1"/>
    <col min="9487" max="9488" width="8.625" style="568" customWidth="1"/>
    <col min="9489" max="9490" width="7.375" style="568" customWidth="1"/>
    <col min="9491" max="9728" width="9" style="568"/>
    <col min="9729" max="9732" width="4.75" style="568" customWidth="1"/>
    <col min="9733" max="9733" width="3.875" style="568" customWidth="1"/>
    <col min="9734" max="9735" width="4.75" style="568" customWidth="1"/>
    <col min="9736" max="9736" width="4.25" style="568" customWidth="1"/>
    <col min="9737" max="9737" width="4.75" style="568" customWidth="1"/>
    <col min="9738" max="9738" width="9.25" style="568" customWidth="1"/>
    <col min="9739" max="9739" width="4.625" style="568" customWidth="1"/>
    <col min="9740" max="9740" width="5.125" style="568" customWidth="1"/>
    <col min="9741" max="9741" width="5.625" style="568" customWidth="1"/>
    <col min="9742" max="9742" width="4.125" style="568" customWidth="1"/>
    <col min="9743" max="9744" width="8.625" style="568" customWidth="1"/>
    <col min="9745" max="9746" width="7.375" style="568" customWidth="1"/>
    <col min="9747" max="9984" width="9" style="568"/>
    <col min="9985" max="9988" width="4.75" style="568" customWidth="1"/>
    <col min="9989" max="9989" width="3.875" style="568" customWidth="1"/>
    <col min="9990" max="9991" width="4.75" style="568" customWidth="1"/>
    <col min="9992" max="9992" width="4.25" style="568" customWidth="1"/>
    <col min="9993" max="9993" width="4.75" style="568" customWidth="1"/>
    <col min="9994" max="9994" width="9.25" style="568" customWidth="1"/>
    <col min="9995" max="9995" width="4.625" style="568" customWidth="1"/>
    <col min="9996" max="9996" width="5.125" style="568" customWidth="1"/>
    <col min="9997" max="9997" width="5.625" style="568" customWidth="1"/>
    <col min="9998" max="9998" width="4.125" style="568" customWidth="1"/>
    <col min="9999" max="10000" width="8.625" style="568" customWidth="1"/>
    <col min="10001" max="10002" width="7.375" style="568" customWidth="1"/>
    <col min="10003" max="10240" width="9" style="568"/>
    <col min="10241" max="10244" width="4.75" style="568" customWidth="1"/>
    <col min="10245" max="10245" width="3.875" style="568" customWidth="1"/>
    <col min="10246" max="10247" width="4.75" style="568" customWidth="1"/>
    <col min="10248" max="10248" width="4.25" style="568" customWidth="1"/>
    <col min="10249" max="10249" width="4.75" style="568" customWidth="1"/>
    <col min="10250" max="10250" width="9.25" style="568" customWidth="1"/>
    <col min="10251" max="10251" width="4.625" style="568" customWidth="1"/>
    <col min="10252" max="10252" width="5.125" style="568" customWidth="1"/>
    <col min="10253" max="10253" width="5.625" style="568" customWidth="1"/>
    <col min="10254" max="10254" width="4.125" style="568" customWidth="1"/>
    <col min="10255" max="10256" width="8.625" style="568" customWidth="1"/>
    <col min="10257" max="10258" width="7.375" style="568" customWidth="1"/>
    <col min="10259" max="10496" width="9" style="568"/>
    <col min="10497" max="10500" width="4.75" style="568" customWidth="1"/>
    <col min="10501" max="10501" width="3.875" style="568" customWidth="1"/>
    <col min="10502" max="10503" width="4.75" style="568" customWidth="1"/>
    <col min="10504" max="10504" width="4.25" style="568" customWidth="1"/>
    <col min="10505" max="10505" width="4.75" style="568" customWidth="1"/>
    <col min="10506" max="10506" width="9.25" style="568" customWidth="1"/>
    <col min="10507" max="10507" width="4.625" style="568" customWidth="1"/>
    <col min="10508" max="10508" width="5.125" style="568" customWidth="1"/>
    <col min="10509" max="10509" width="5.625" style="568" customWidth="1"/>
    <col min="10510" max="10510" width="4.125" style="568" customWidth="1"/>
    <col min="10511" max="10512" width="8.625" style="568" customWidth="1"/>
    <col min="10513" max="10514" width="7.375" style="568" customWidth="1"/>
    <col min="10515" max="10752" width="9" style="568"/>
    <col min="10753" max="10756" width="4.75" style="568" customWidth="1"/>
    <col min="10757" max="10757" width="3.875" style="568" customWidth="1"/>
    <col min="10758" max="10759" width="4.75" style="568" customWidth="1"/>
    <col min="10760" max="10760" width="4.25" style="568" customWidth="1"/>
    <col min="10761" max="10761" width="4.75" style="568" customWidth="1"/>
    <col min="10762" max="10762" width="9.25" style="568" customWidth="1"/>
    <col min="10763" max="10763" width="4.625" style="568" customWidth="1"/>
    <col min="10764" max="10764" width="5.125" style="568" customWidth="1"/>
    <col min="10765" max="10765" width="5.625" style="568" customWidth="1"/>
    <col min="10766" max="10766" width="4.125" style="568" customWidth="1"/>
    <col min="10767" max="10768" width="8.625" style="568" customWidth="1"/>
    <col min="10769" max="10770" width="7.375" style="568" customWidth="1"/>
    <col min="10771" max="11008" width="9" style="568"/>
    <col min="11009" max="11012" width="4.75" style="568" customWidth="1"/>
    <col min="11013" max="11013" width="3.875" style="568" customWidth="1"/>
    <col min="11014" max="11015" width="4.75" style="568" customWidth="1"/>
    <col min="11016" max="11016" width="4.25" style="568" customWidth="1"/>
    <col min="11017" max="11017" width="4.75" style="568" customWidth="1"/>
    <col min="11018" max="11018" width="9.25" style="568" customWidth="1"/>
    <col min="11019" max="11019" width="4.625" style="568" customWidth="1"/>
    <col min="11020" max="11020" width="5.125" style="568" customWidth="1"/>
    <col min="11021" max="11021" width="5.625" style="568" customWidth="1"/>
    <col min="11022" max="11022" width="4.125" style="568" customWidth="1"/>
    <col min="11023" max="11024" width="8.625" style="568" customWidth="1"/>
    <col min="11025" max="11026" width="7.375" style="568" customWidth="1"/>
    <col min="11027" max="11264" width="9" style="568"/>
    <col min="11265" max="11268" width="4.75" style="568" customWidth="1"/>
    <col min="11269" max="11269" width="3.875" style="568" customWidth="1"/>
    <col min="11270" max="11271" width="4.75" style="568" customWidth="1"/>
    <col min="11272" max="11272" width="4.25" style="568" customWidth="1"/>
    <col min="11273" max="11273" width="4.75" style="568" customWidth="1"/>
    <col min="11274" max="11274" width="9.25" style="568" customWidth="1"/>
    <col min="11275" max="11275" width="4.625" style="568" customWidth="1"/>
    <col min="11276" max="11276" width="5.125" style="568" customWidth="1"/>
    <col min="11277" max="11277" width="5.625" style="568" customWidth="1"/>
    <col min="11278" max="11278" width="4.125" style="568" customWidth="1"/>
    <col min="11279" max="11280" width="8.625" style="568" customWidth="1"/>
    <col min="11281" max="11282" width="7.375" style="568" customWidth="1"/>
    <col min="11283" max="11520" width="9" style="568"/>
    <col min="11521" max="11524" width="4.75" style="568" customWidth="1"/>
    <col min="11525" max="11525" width="3.875" style="568" customWidth="1"/>
    <col min="11526" max="11527" width="4.75" style="568" customWidth="1"/>
    <col min="11528" max="11528" width="4.25" style="568" customWidth="1"/>
    <col min="11529" max="11529" width="4.75" style="568" customWidth="1"/>
    <col min="11530" max="11530" width="9.25" style="568" customWidth="1"/>
    <col min="11531" max="11531" width="4.625" style="568" customWidth="1"/>
    <col min="11532" max="11532" width="5.125" style="568" customWidth="1"/>
    <col min="11533" max="11533" width="5.625" style="568" customWidth="1"/>
    <col min="11534" max="11534" width="4.125" style="568" customWidth="1"/>
    <col min="11535" max="11536" width="8.625" style="568" customWidth="1"/>
    <col min="11537" max="11538" width="7.375" style="568" customWidth="1"/>
    <col min="11539" max="11776" width="9" style="568"/>
    <col min="11777" max="11780" width="4.75" style="568" customWidth="1"/>
    <col min="11781" max="11781" width="3.875" style="568" customWidth="1"/>
    <col min="11782" max="11783" width="4.75" style="568" customWidth="1"/>
    <col min="11784" max="11784" width="4.25" style="568" customWidth="1"/>
    <col min="11785" max="11785" width="4.75" style="568" customWidth="1"/>
    <col min="11786" max="11786" width="9.25" style="568" customWidth="1"/>
    <col min="11787" max="11787" width="4.625" style="568" customWidth="1"/>
    <col min="11788" max="11788" width="5.125" style="568" customWidth="1"/>
    <col min="11789" max="11789" width="5.625" style="568" customWidth="1"/>
    <col min="11790" max="11790" width="4.125" style="568" customWidth="1"/>
    <col min="11791" max="11792" width="8.625" style="568" customWidth="1"/>
    <col min="11793" max="11794" width="7.375" style="568" customWidth="1"/>
    <col min="11795" max="12032" width="9" style="568"/>
    <col min="12033" max="12036" width="4.75" style="568" customWidth="1"/>
    <col min="12037" max="12037" width="3.875" style="568" customWidth="1"/>
    <col min="12038" max="12039" width="4.75" style="568" customWidth="1"/>
    <col min="12040" max="12040" width="4.25" style="568" customWidth="1"/>
    <col min="12041" max="12041" width="4.75" style="568" customWidth="1"/>
    <col min="12042" max="12042" width="9.25" style="568" customWidth="1"/>
    <col min="12043" max="12043" width="4.625" style="568" customWidth="1"/>
    <col min="12044" max="12044" width="5.125" style="568" customWidth="1"/>
    <col min="12045" max="12045" width="5.625" style="568" customWidth="1"/>
    <col min="12046" max="12046" width="4.125" style="568" customWidth="1"/>
    <col min="12047" max="12048" width="8.625" style="568" customWidth="1"/>
    <col min="12049" max="12050" width="7.375" style="568" customWidth="1"/>
    <col min="12051" max="12288" width="9" style="568"/>
    <col min="12289" max="12292" width="4.75" style="568" customWidth="1"/>
    <col min="12293" max="12293" width="3.875" style="568" customWidth="1"/>
    <col min="12294" max="12295" width="4.75" style="568" customWidth="1"/>
    <col min="12296" max="12296" width="4.25" style="568" customWidth="1"/>
    <col min="12297" max="12297" width="4.75" style="568" customWidth="1"/>
    <col min="12298" max="12298" width="9.25" style="568" customWidth="1"/>
    <col min="12299" max="12299" width="4.625" style="568" customWidth="1"/>
    <col min="12300" max="12300" width="5.125" style="568" customWidth="1"/>
    <col min="12301" max="12301" width="5.625" style="568" customWidth="1"/>
    <col min="12302" max="12302" width="4.125" style="568" customWidth="1"/>
    <col min="12303" max="12304" width="8.625" style="568" customWidth="1"/>
    <col min="12305" max="12306" width="7.375" style="568" customWidth="1"/>
    <col min="12307" max="12544" width="9" style="568"/>
    <col min="12545" max="12548" width="4.75" style="568" customWidth="1"/>
    <col min="12549" max="12549" width="3.875" style="568" customWidth="1"/>
    <col min="12550" max="12551" width="4.75" style="568" customWidth="1"/>
    <col min="12552" max="12552" width="4.25" style="568" customWidth="1"/>
    <col min="12553" max="12553" width="4.75" style="568" customWidth="1"/>
    <col min="12554" max="12554" width="9.25" style="568" customWidth="1"/>
    <col min="12555" max="12555" width="4.625" style="568" customWidth="1"/>
    <col min="12556" max="12556" width="5.125" style="568" customWidth="1"/>
    <col min="12557" max="12557" width="5.625" style="568" customWidth="1"/>
    <col min="12558" max="12558" width="4.125" style="568" customWidth="1"/>
    <col min="12559" max="12560" width="8.625" style="568" customWidth="1"/>
    <col min="12561" max="12562" width="7.375" style="568" customWidth="1"/>
    <col min="12563" max="12800" width="9" style="568"/>
    <col min="12801" max="12804" width="4.75" style="568" customWidth="1"/>
    <col min="12805" max="12805" width="3.875" style="568" customWidth="1"/>
    <col min="12806" max="12807" width="4.75" style="568" customWidth="1"/>
    <col min="12808" max="12808" width="4.25" style="568" customWidth="1"/>
    <col min="12809" max="12809" width="4.75" style="568" customWidth="1"/>
    <col min="12810" max="12810" width="9.25" style="568" customWidth="1"/>
    <col min="12811" max="12811" width="4.625" style="568" customWidth="1"/>
    <col min="12812" max="12812" width="5.125" style="568" customWidth="1"/>
    <col min="12813" max="12813" width="5.625" style="568" customWidth="1"/>
    <col min="12814" max="12814" width="4.125" style="568" customWidth="1"/>
    <col min="12815" max="12816" width="8.625" style="568" customWidth="1"/>
    <col min="12817" max="12818" width="7.375" style="568" customWidth="1"/>
    <col min="12819" max="13056" width="9" style="568"/>
    <col min="13057" max="13060" width="4.75" style="568" customWidth="1"/>
    <col min="13061" max="13061" width="3.875" style="568" customWidth="1"/>
    <col min="13062" max="13063" width="4.75" style="568" customWidth="1"/>
    <col min="13064" max="13064" width="4.25" style="568" customWidth="1"/>
    <col min="13065" max="13065" width="4.75" style="568" customWidth="1"/>
    <col min="13066" max="13066" width="9.25" style="568" customWidth="1"/>
    <col min="13067" max="13067" width="4.625" style="568" customWidth="1"/>
    <col min="13068" max="13068" width="5.125" style="568" customWidth="1"/>
    <col min="13069" max="13069" width="5.625" style="568" customWidth="1"/>
    <col min="13070" max="13070" width="4.125" style="568" customWidth="1"/>
    <col min="13071" max="13072" width="8.625" style="568" customWidth="1"/>
    <col min="13073" max="13074" width="7.375" style="568" customWidth="1"/>
    <col min="13075" max="13312" width="9" style="568"/>
    <col min="13313" max="13316" width="4.75" style="568" customWidth="1"/>
    <col min="13317" max="13317" width="3.875" style="568" customWidth="1"/>
    <col min="13318" max="13319" width="4.75" style="568" customWidth="1"/>
    <col min="13320" max="13320" width="4.25" style="568" customWidth="1"/>
    <col min="13321" max="13321" width="4.75" style="568" customWidth="1"/>
    <col min="13322" max="13322" width="9.25" style="568" customWidth="1"/>
    <col min="13323" max="13323" width="4.625" style="568" customWidth="1"/>
    <col min="13324" max="13324" width="5.125" style="568" customWidth="1"/>
    <col min="13325" max="13325" width="5.625" style="568" customWidth="1"/>
    <col min="13326" max="13326" width="4.125" style="568" customWidth="1"/>
    <col min="13327" max="13328" width="8.625" style="568" customWidth="1"/>
    <col min="13329" max="13330" width="7.375" style="568" customWidth="1"/>
    <col min="13331" max="13568" width="9" style="568"/>
    <col min="13569" max="13572" width="4.75" style="568" customWidth="1"/>
    <col min="13573" max="13573" width="3.875" style="568" customWidth="1"/>
    <col min="13574" max="13575" width="4.75" style="568" customWidth="1"/>
    <col min="13576" max="13576" width="4.25" style="568" customWidth="1"/>
    <col min="13577" max="13577" width="4.75" style="568" customWidth="1"/>
    <col min="13578" max="13578" width="9.25" style="568" customWidth="1"/>
    <col min="13579" max="13579" width="4.625" style="568" customWidth="1"/>
    <col min="13580" max="13580" width="5.125" style="568" customWidth="1"/>
    <col min="13581" max="13581" width="5.625" style="568" customWidth="1"/>
    <col min="13582" max="13582" width="4.125" style="568" customWidth="1"/>
    <col min="13583" max="13584" width="8.625" style="568" customWidth="1"/>
    <col min="13585" max="13586" width="7.375" style="568" customWidth="1"/>
    <col min="13587" max="13824" width="9" style="568"/>
    <col min="13825" max="13828" width="4.75" style="568" customWidth="1"/>
    <col min="13829" max="13829" width="3.875" style="568" customWidth="1"/>
    <col min="13830" max="13831" width="4.75" style="568" customWidth="1"/>
    <col min="13832" max="13832" width="4.25" style="568" customWidth="1"/>
    <col min="13833" max="13833" width="4.75" style="568" customWidth="1"/>
    <col min="13834" max="13834" width="9.25" style="568" customWidth="1"/>
    <col min="13835" max="13835" width="4.625" style="568" customWidth="1"/>
    <col min="13836" max="13836" width="5.125" style="568" customWidth="1"/>
    <col min="13837" max="13837" width="5.625" style="568" customWidth="1"/>
    <col min="13838" max="13838" width="4.125" style="568" customWidth="1"/>
    <col min="13839" max="13840" width="8.625" style="568" customWidth="1"/>
    <col min="13841" max="13842" width="7.375" style="568" customWidth="1"/>
    <col min="13843" max="14080" width="9" style="568"/>
    <col min="14081" max="14084" width="4.75" style="568" customWidth="1"/>
    <col min="14085" max="14085" width="3.875" style="568" customWidth="1"/>
    <col min="14086" max="14087" width="4.75" style="568" customWidth="1"/>
    <col min="14088" max="14088" width="4.25" style="568" customWidth="1"/>
    <col min="14089" max="14089" width="4.75" style="568" customWidth="1"/>
    <col min="14090" max="14090" width="9.25" style="568" customWidth="1"/>
    <col min="14091" max="14091" width="4.625" style="568" customWidth="1"/>
    <col min="14092" max="14092" width="5.125" style="568" customWidth="1"/>
    <col min="14093" max="14093" width="5.625" style="568" customWidth="1"/>
    <col min="14094" max="14094" width="4.125" style="568" customWidth="1"/>
    <col min="14095" max="14096" width="8.625" style="568" customWidth="1"/>
    <col min="14097" max="14098" width="7.375" style="568" customWidth="1"/>
    <col min="14099" max="14336" width="9" style="568"/>
    <col min="14337" max="14340" width="4.75" style="568" customWidth="1"/>
    <col min="14341" max="14341" width="3.875" style="568" customWidth="1"/>
    <col min="14342" max="14343" width="4.75" style="568" customWidth="1"/>
    <col min="14344" max="14344" width="4.25" style="568" customWidth="1"/>
    <col min="14345" max="14345" width="4.75" style="568" customWidth="1"/>
    <col min="14346" max="14346" width="9.25" style="568" customWidth="1"/>
    <col min="14347" max="14347" width="4.625" style="568" customWidth="1"/>
    <col min="14348" max="14348" width="5.125" style="568" customWidth="1"/>
    <col min="14349" max="14349" width="5.625" style="568" customWidth="1"/>
    <col min="14350" max="14350" width="4.125" style="568" customWidth="1"/>
    <col min="14351" max="14352" width="8.625" style="568" customWidth="1"/>
    <col min="14353" max="14354" width="7.375" style="568" customWidth="1"/>
    <col min="14355" max="14592" width="9" style="568"/>
    <col min="14593" max="14596" width="4.75" style="568" customWidth="1"/>
    <col min="14597" max="14597" width="3.875" style="568" customWidth="1"/>
    <col min="14598" max="14599" width="4.75" style="568" customWidth="1"/>
    <col min="14600" max="14600" width="4.25" style="568" customWidth="1"/>
    <col min="14601" max="14601" width="4.75" style="568" customWidth="1"/>
    <col min="14602" max="14602" width="9.25" style="568" customWidth="1"/>
    <col min="14603" max="14603" width="4.625" style="568" customWidth="1"/>
    <col min="14604" max="14604" width="5.125" style="568" customWidth="1"/>
    <col min="14605" max="14605" width="5.625" style="568" customWidth="1"/>
    <col min="14606" max="14606" width="4.125" style="568" customWidth="1"/>
    <col min="14607" max="14608" width="8.625" style="568" customWidth="1"/>
    <col min="14609" max="14610" width="7.375" style="568" customWidth="1"/>
    <col min="14611" max="14848" width="9" style="568"/>
    <col min="14849" max="14852" width="4.75" style="568" customWidth="1"/>
    <col min="14853" max="14853" width="3.875" style="568" customWidth="1"/>
    <col min="14854" max="14855" width="4.75" style="568" customWidth="1"/>
    <col min="14856" max="14856" width="4.25" style="568" customWidth="1"/>
    <col min="14857" max="14857" width="4.75" style="568" customWidth="1"/>
    <col min="14858" max="14858" width="9.25" style="568" customWidth="1"/>
    <col min="14859" max="14859" width="4.625" style="568" customWidth="1"/>
    <col min="14860" max="14860" width="5.125" style="568" customWidth="1"/>
    <col min="14861" max="14861" width="5.625" style="568" customWidth="1"/>
    <col min="14862" max="14862" width="4.125" style="568" customWidth="1"/>
    <col min="14863" max="14864" width="8.625" style="568" customWidth="1"/>
    <col min="14865" max="14866" width="7.375" style="568" customWidth="1"/>
    <col min="14867" max="15104" width="9" style="568"/>
    <col min="15105" max="15108" width="4.75" style="568" customWidth="1"/>
    <col min="15109" max="15109" width="3.875" style="568" customWidth="1"/>
    <col min="15110" max="15111" width="4.75" style="568" customWidth="1"/>
    <col min="15112" max="15112" width="4.25" style="568" customWidth="1"/>
    <col min="15113" max="15113" width="4.75" style="568" customWidth="1"/>
    <col min="15114" max="15114" width="9.25" style="568" customWidth="1"/>
    <col min="15115" max="15115" width="4.625" style="568" customWidth="1"/>
    <col min="15116" max="15116" width="5.125" style="568" customWidth="1"/>
    <col min="15117" max="15117" width="5.625" style="568" customWidth="1"/>
    <col min="15118" max="15118" width="4.125" style="568" customWidth="1"/>
    <col min="15119" max="15120" width="8.625" style="568" customWidth="1"/>
    <col min="15121" max="15122" width="7.375" style="568" customWidth="1"/>
    <col min="15123" max="15360" width="9" style="568"/>
    <col min="15361" max="15364" width="4.75" style="568" customWidth="1"/>
    <col min="15365" max="15365" width="3.875" style="568" customWidth="1"/>
    <col min="15366" max="15367" width="4.75" style="568" customWidth="1"/>
    <col min="15368" max="15368" width="4.25" style="568" customWidth="1"/>
    <col min="15369" max="15369" width="4.75" style="568" customWidth="1"/>
    <col min="15370" max="15370" width="9.25" style="568" customWidth="1"/>
    <col min="15371" max="15371" width="4.625" style="568" customWidth="1"/>
    <col min="15372" max="15372" width="5.125" style="568" customWidth="1"/>
    <col min="15373" max="15373" width="5.625" style="568" customWidth="1"/>
    <col min="15374" max="15374" width="4.125" style="568" customWidth="1"/>
    <col min="15375" max="15376" width="8.625" style="568" customWidth="1"/>
    <col min="15377" max="15378" width="7.375" style="568" customWidth="1"/>
    <col min="15379" max="15616" width="9" style="568"/>
    <col min="15617" max="15620" width="4.75" style="568" customWidth="1"/>
    <col min="15621" max="15621" width="3.875" style="568" customWidth="1"/>
    <col min="15622" max="15623" width="4.75" style="568" customWidth="1"/>
    <col min="15624" max="15624" width="4.25" style="568" customWidth="1"/>
    <col min="15625" max="15625" width="4.75" style="568" customWidth="1"/>
    <col min="15626" max="15626" width="9.25" style="568" customWidth="1"/>
    <col min="15627" max="15627" width="4.625" style="568" customWidth="1"/>
    <col min="15628" max="15628" width="5.125" style="568" customWidth="1"/>
    <col min="15629" max="15629" width="5.625" style="568" customWidth="1"/>
    <col min="15630" max="15630" width="4.125" style="568" customWidth="1"/>
    <col min="15631" max="15632" width="8.625" style="568" customWidth="1"/>
    <col min="15633" max="15634" width="7.375" style="568" customWidth="1"/>
    <col min="15635" max="15872" width="9" style="568"/>
    <col min="15873" max="15876" width="4.75" style="568" customWidth="1"/>
    <col min="15877" max="15877" width="3.875" style="568" customWidth="1"/>
    <col min="15878" max="15879" width="4.75" style="568" customWidth="1"/>
    <col min="15880" max="15880" width="4.25" style="568" customWidth="1"/>
    <col min="15881" max="15881" width="4.75" style="568" customWidth="1"/>
    <col min="15882" max="15882" width="9.25" style="568" customWidth="1"/>
    <col min="15883" max="15883" width="4.625" style="568" customWidth="1"/>
    <col min="15884" max="15884" width="5.125" style="568" customWidth="1"/>
    <col min="15885" max="15885" width="5.625" style="568" customWidth="1"/>
    <col min="15886" max="15886" width="4.125" style="568" customWidth="1"/>
    <col min="15887" max="15888" width="8.625" style="568" customWidth="1"/>
    <col min="15889" max="15890" width="7.375" style="568" customWidth="1"/>
    <col min="15891" max="16128" width="9" style="568"/>
    <col min="16129" max="16132" width="4.75" style="568" customWidth="1"/>
    <col min="16133" max="16133" width="3.875" style="568" customWidth="1"/>
    <col min="16134" max="16135" width="4.75" style="568" customWidth="1"/>
    <col min="16136" max="16136" width="4.25" style="568" customWidth="1"/>
    <col min="16137" max="16137" width="4.75" style="568" customWidth="1"/>
    <col min="16138" max="16138" width="9.25" style="568" customWidth="1"/>
    <col min="16139" max="16139" width="4.625" style="568" customWidth="1"/>
    <col min="16140" max="16140" width="5.125" style="568" customWidth="1"/>
    <col min="16141" max="16141" width="5.625" style="568" customWidth="1"/>
    <col min="16142" max="16142" width="4.125" style="568" customWidth="1"/>
    <col min="16143" max="16144" width="8.625" style="568" customWidth="1"/>
    <col min="16145" max="16146" width="7.375" style="568" customWidth="1"/>
    <col min="16147" max="16384" width="9" style="568"/>
  </cols>
  <sheetData>
    <row r="1" spans="1:19" ht="17.25">
      <c r="A1" s="821" t="s">
        <v>423</v>
      </c>
      <c r="B1" s="822"/>
      <c r="C1" s="822"/>
      <c r="D1" s="822"/>
      <c r="E1" s="822"/>
      <c r="F1" s="822"/>
      <c r="G1" s="822"/>
      <c r="H1" s="822"/>
      <c r="I1" s="822"/>
      <c r="J1" s="822"/>
      <c r="K1" s="822"/>
      <c r="L1" s="822"/>
      <c r="M1" s="822"/>
      <c r="N1" s="822"/>
      <c r="O1" s="822"/>
      <c r="P1" s="822"/>
      <c r="Q1" s="822"/>
      <c r="R1" s="823"/>
      <c r="S1" s="567"/>
    </row>
    <row r="2" spans="1:19">
      <c r="A2" s="824" t="s">
        <v>479</v>
      </c>
      <c r="B2" s="825"/>
      <c r="C2" s="825"/>
      <c r="D2" s="825"/>
      <c r="E2" s="825"/>
      <c r="F2" s="825"/>
      <c r="G2" s="825"/>
      <c r="H2" s="825"/>
      <c r="I2" s="825"/>
      <c r="J2" s="825"/>
      <c r="K2" s="825"/>
      <c r="L2" s="825"/>
      <c r="M2" s="825"/>
      <c r="N2" s="825"/>
      <c r="O2" s="825"/>
      <c r="P2" s="825"/>
      <c r="Q2" s="825"/>
      <c r="R2" s="826"/>
      <c r="S2" s="567"/>
    </row>
    <row r="3" spans="1:19">
      <c r="A3" s="947" t="s">
        <v>424</v>
      </c>
      <c r="B3" s="948"/>
      <c r="C3" s="948"/>
      <c r="D3" s="948"/>
      <c r="E3" s="948"/>
      <c r="F3" s="948"/>
      <c r="G3" s="948"/>
      <c r="H3" s="948"/>
      <c r="I3" s="948"/>
      <c r="J3" s="948"/>
      <c r="K3" s="948"/>
      <c r="L3" s="948"/>
      <c r="M3" s="948"/>
      <c r="N3" s="948"/>
      <c r="O3" s="948"/>
      <c r="P3" s="948"/>
      <c r="Q3" s="948"/>
      <c r="R3" s="949"/>
      <c r="S3" s="567"/>
    </row>
    <row r="4" spans="1:19">
      <c r="A4" s="830" t="s">
        <v>425</v>
      </c>
      <c r="B4" s="831"/>
      <c r="C4" s="831"/>
      <c r="D4" s="831"/>
      <c r="E4" s="831"/>
      <c r="F4" s="831"/>
      <c r="G4" s="831"/>
      <c r="H4" s="831"/>
      <c r="I4" s="831"/>
      <c r="J4" s="831"/>
      <c r="K4" s="831"/>
      <c r="L4" s="831"/>
      <c r="M4" s="831"/>
      <c r="N4" s="831"/>
      <c r="O4" s="831"/>
      <c r="P4" s="831"/>
      <c r="Q4" s="831"/>
      <c r="R4" s="832"/>
      <c r="S4" s="567"/>
    </row>
    <row r="5" spans="1:19">
      <c r="A5" s="833"/>
      <c r="B5" s="834"/>
      <c r="C5" s="834"/>
      <c r="D5" s="834"/>
      <c r="E5" s="834"/>
      <c r="F5" s="834"/>
      <c r="G5" s="834"/>
      <c r="H5" s="834"/>
      <c r="I5" s="834"/>
      <c r="J5" s="834"/>
      <c r="K5" s="834"/>
      <c r="L5" s="834"/>
      <c r="M5" s="834"/>
      <c r="N5" s="834"/>
      <c r="O5" s="834"/>
      <c r="P5" s="834"/>
      <c r="Q5" s="834"/>
      <c r="R5" s="835"/>
      <c r="S5" s="567"/>
    </row>
    <row r="6" spans="1:19">
      <c r="A6" s="830" t="s">
        <v>447</v>
      </c>
      <c r="B6" s="831"/>
      <c r="C6" s="831"/>
      <c r="D6" s="831"/>
      <c r="E6" s="831"/>
      <c r="F6" s="831"/>
      <c r="G6" s="831"/>
      <c r="H6" s="831"/>
      <c r="I6" s="831"/>
      <c r="J6" s="831"/>
      <c r="K6" s="831"/>
      <c r="L6" s="831"/>
      <c r="M6" s="831"/>
      <c r="N6" s="831"/>
      <c r="O6" s="831"/>
      <c r="P6" s="831"/>
      <c r="Q6" s="831"/>
      <c r="R6" s="832"/>
      <c r="S6" s="567"/>
    </row>
    <row r="7" spans="1:19" ht="20.100000000000001" customHeight="1">
      <c r="A7" s="855"/>
      <c r="B7" s="856"/>
      <c r="C7" s="569" t="s">
        <v>427</v>
      </c>
      <c r="D7" s="954" t="s">
        <v>448</v>
      </c>
      <c r="E7" s="857"/>
      <c r="F7" s="857"/>
      <c r="G7" s="857"/>
      <c r="H7" s="857"/>
      <c r="I7" s="857"/>
      <c r="J7" s="857"/>
      <c r="K7" s="857"/>
      <c r="L7" s="857"/>
      <c r="M7" s="857"/>
      <c r="N7" s="857"/>
      <c r="O7" s="857"/>
      <c r="P7" s="857"/>
      <c r="Q7" s="858"/>
      <c r="R7" s="570"/>
      <c r="S7" s="571"/>
    </row>
    <row r="8" spans="1:19" ht="15" customHeight="1">
      <c r="A8" s="855"/>
      <c r="B8" s="856"/>
      <c r="C8" s="859" t="s">
        <v>428</v>
      </c>
      <c r="D8" s="861" t="s">
        <v>429</v>
      </c>
      <c r="E8" s="862"/>
      <c r="F8" s="862"/>
      <c r="G8" s="863"/>
      <c r="H8" s="867" t="s">
        <v>430</v>
      </c>
      <c r="I8" s="868"/>
      <c r="J8" s="955" t="s">
        <v>449</v>
      </c>
      <c r="K8" s="956"/>
      <c r="L8" s="956"/>
      <c r="M8" s="956"/>
      <c r="N8" s="956"/>
      <c r="O8" s="956"/>
      <c r="P8" s="956"/>
      <c r="Q8" s="871" t="s">
        <v>431</v>
      </c>
      <c r="R8" s="836"/>
      <c r="S8" s="837"/>
    </row>
    <row r="9" spans="1:19" ht="15" customHeight="1">
      <c r="A9" s="855"/>
      <c r="B9" s="856"/>
      <c r="C9" s="860"/>
      <c r="D9" s="864"/>
      <c r="E9" s="865"/>
      <c r="F9" s="865"/>
      <c r="G9" s="866"/>
      <c r="H9" s="860"/>
      <c r="I9" s="869"/>
      <c r="J9" s="957"/>
      <c r="K9" s="958"/>
      <c r="L9" s="958"/>
      <c r="M9" s="958"/>
      <c r="N9" s="958"/>
      <c r="O9" s="958"/>
      <c r="P9" s="958"/>
      <c r="Q9" s="872"/>
      <c r="R9" s="836"/>
      <c r="S9" s="837"/>
    </row>
    <row r="10" spans="1:19">
      <c r="A10" s="838"/>
      <c r="B10" s="839"/>
      <c r="C10" s="839"/>
      <c r="D10" s="839"/>
      <c r="E10" s="839"/>
      <c r="F10" s="839"/>
      <c r="G10" s="839"/>
      <c r="H10" s="839"/>
      <c r="I10" s="839"/>
      <c r="J10" s="839"/>
      <c r="K10" s="839"/>
      <c r="L10" s="839"/>
      <c r="M10" s="839"/>
      <c r="N10" s="839"/>
      <c r="O10" s="839"/>
      <c r="P10" s="839"/>
      <c r="Q10" s="839"/>
      <c r="R10" s="840"/>
      <c r="S10" s="571"/>
    </row>
    <row r="11" spans="1:19" ht="32.25" customHeight="1" thickBot="1">
      <c r="A11" s="572" t="s">
        <v>432</v>
      </c>
      <c r="B11" s="950" t="s">
        <v>472</v>
      </c>
      <c r="C11" s="842"/>
      <c r="D11" s="842"/>
      <c r="E11" s="842"/>
      <c r="F11" s="842"/>
      <c r="G11" s="842"/>
      <c r="H11" s="842"/>
      <c r="I11" s="842"/>
      <c r="J11" s="842"/>
      <c r="K11" s="842"/>
      <c r="L11" s="842"/>
      <c r="M11" s="842"/>
      <c r="N11" s="842"/>
      <c r="O11" s="842"/>
      <c r="P11" s="842"/>
      <c r="Q11" s="842"/>
      <c r="R11" s="843"/>
      <c r="S11" s="571"/>
    </row>
    <row r="12" spans="1:19" ht="14.25" customHeight="1" thickTop="1" thickBot="1">
      <c r="A12" s="844" t="s">
        <v>433</v>
      </c>
      <c r="B12" s="847" t="s">
        <v>434</v>
      </c>
      <c r="C12" s="847"/>
      <c r="D12" s="848"/>
      <c r="E12" s="851"/>
      <c r="F12" s="584" t="s">
        <v>435</v>
      </c>
      <c r="G12" s="951" t="s">
        <v>450</v>
      </c>
      <c r="H12" s="952"/>
      <c r="I12" s="952"/>
      <c r="J12" s="953"/>
      <c r="K12" s="951" t="s">
        <v>451</v>
      </c>
      <c r="L12" s="952"/>
      <c r="M12" s="952"/>
      <c r="N12" s="953"/>
      <c r="O12" s="951" t="s">
        <v>452</v>
      </c>
      <c r="P12" s="953"/>
      <c r="Q12" s="951" t="s">
        <v>453</v>
      </c>
      <c r="R12" s="969"/>
      <c r="S12" s="571"/>
    </row>
    <row r="13" spans="1:19">
      <c r="A13" s="845"/>
      <c r="B13" s="849"/>
      <c r="C13" s="849"/>
      <c r="D13" s="850"/>
      <c r="E13" s="851"/>
      <c r="F13" s="970" t="s">
        <v>454</v>
      </c>
      <c r="G13" s="973" t="s">
        <v>440</v>
      </c>
      <c r="H13" s="974"/>
      <c r="I13" s="979"/>
      <c r="J13" s="980"/>
      <c r="K13" s="973" t="s">
        <v>440</v>
      </c>
      <c r="L13" s="979"/>
      <c r="M13" s="979"/>
      <c r="N13" s="980"/>
      <c r="O13" s="983"/>
      <c r="P13" s="980"/>
      <c r="Q13" s="983"/>
      <c r="R13" s="985"/>
      <c r="S13" s="571"/>
    </row>
    <row r="14" spans="1:19">
      <c r="A14" s="845"/>
      <c r="B14" s="873"/>
      <c r="C14" s="873"/>
      <c r="D14" s="873"/>
      <c r="E14" s="851"/>
      <c r="F14" s="971"/>
      <c r="G14" s="975"/>
      <c r="H14" s="976"/>
      <c r="I14" s="981"/>
      <c r="J14" s="982"/>
      <c r="K14" s="975"/>
      <c r="L14" s="981"/>
      <c r="M14" s="981"/>
      <c r="N14" s="982"/>
      <c r="O14" s="984"/>
      <c r="P14" s="982"/>
      <c r="Q14" s="984"/>
      <c r="R14" s="986"/>
      <c r="S14" s="571"/>
    </row>
    <row r="15" spans="1:19" ht="13.5" customHeight="1" thickBot="1">
      <c r="A15" s="845"/>
      <c r="B15" s="959" t="s">
        <v>455</v>
      </c>
      <c r="C15" s="874"/>
      <c r="D15" s="875"/>
      <c r="E15" s="851"/>
      <c r="F15" s="972"/>
      <c r="G15" s="977"/>
      <c r="H15" s="978"/>
      <c r="I15" s="960" t="s">
        <v>456</v>
      </c>
      <c r="J15" s="961"/>
      <c r="K15" s="977"/>
      <c r="L15" s="962" t="s">
        <v>442</v>
      </c>
      <c r="M15" s="962"/>
      <c r="N15" s="963"/>
      <c r="O15" s="964" t="s">
        <v>43</v>
      </c>
      <c r="P15" s="965"/>
      <c r="Q15" s="987"/>
      <c r="R15" s="988"/>
      <c r="S15" s="574"/>
    </row>
    <row r="16" spans="1:19" ht="14.25" thickBot="1">
      <c r="A16" s="845"/>
      <c r="B16" s="876"/>
      <c r="C16" s="876"/>
      <c r="D16" s="877"/>
      <c r="E16" s="851"/>
      <c r="F16" s="585"/>
      <c r="G16" s="966"/>
      <c r="H16" s="967"/>
      <c r="I16" s="967"/>
      <c r="J16" s="968"/>
      <c r="K16" s="966"/>
      <c r="L16" s="967"/>
      <c r="M16" s="967"/>
      <c r="N16" s="968"/>
      <c r="O16" s="966"/>
      <c r="P16" s="968"/>
      <c r="Q16" s="966"/>
      <c r="R16" s="989"/>
      <c r="S16" s="571"/>
    </row>
    <row r="17" spans="1:19" ht="13.5" customHeight="1">
      <c r="A17" s="845"/>
      <c r="B17" s="878"/>
      <c r="C17" s="878"/>
      <c r="D17" s="879"/>
      <c r="E17" s="851"/>
      <c r="F17" s="970" t="s">
        <v>440</v>
      </c>
      <c r="G17" s="973" t="s">
        <v>440</v>
      </c>
      <c r="H17" s="974"/>
      <c r="I17" s="974" t="s">
        <v>457</v>
      </c>
      <c r="J17" s="990"/>
      <c r="K17" s="973" t="s">
        <v>440</v>
      </c>
      <c r="L17" s="979" t="s">
        <v>458</v>
      </c>
      <c r="M17" s="979"/>
      <c r="N17" s="980"/>
      <c r="O17" s="973">
        <v>210</v>
      </c>
      <c r="P17" s="990"/>
      <c r="Q17" s="983"/>
      <c r="R17" s="985"/>
      <c r="S17" s="571"/>
    </row>
    <row r="18" spans="1:19">
      <c r="A18" s="845"/>
      <c r="B18" s="873"/>
      <c r="C18" s="873"/>
      <c r="D18" s="873"/>
      <c r="E18" s="851"/>
      <c r="F18" s="971"/>
      <c r="G18" s="975"/>
      <c r="H18" s="976"/>
      <c r="I18" s="976"/>
      <c r="J18" s="991"/>
      <c r="K18" s="975"/>
      <c r="L18" s="981"/>
      <c r="M18" s="981"/>
      <c r="N18" s="982"/>
      <c r="O18" s="975"/>
      <c r="P18" s="991"/>
      <c r="Q18" s="984"/>
      <c r="R18" s="986"/>
      <c r="S18" s="571"/>
    </row>
    <row r="19" spans="1:19" ht="13.5" customHeight="1" thickBot="1">
      <c r="A19" s="845"/>
      <c r="B19" s="959" t="s">
        <v>459</v>
      </c>
      <c r="C19" s="874"/>
      <c r="D19" s="875"/>
      <c r="E19" s="851"/>
      <c r="F19" s="972"/>
      <c r="G19" s="977"/>
      <c r="H19" s="978"/>
      <c r="I19" s="960" t="s">
        <v>460</v>
      </c>
      <c r="J19" s="961"/>
      <c r="K19" s="977"/>
      <c r="L19" s="962" t="s">
        <v>461</v>
      </c>
      <c r="M19" s="962"/>
      <c r="N19" s="963"/>
      <c r="O19" s="964" t="s">
        <v>43</v>
      </c>
      <c r="P19" s="965"/>
      <c r="Q19" s="987"/>
      <c r="R19" s="988"/>
      <c r="S19" s="571"/>
    </row>
    <row r="20" spans="1:19" ht="14.25" thickBot="1">
      <c r="A20" s="845"/>
      <c r="B20" s="876"/>
      <c r="C20" s="876"/>
      <c r="D20" s="877"/>
      <c r="E20" s="851"/>
      <c r="F20" s="585"/>
      <c r="G20" s="966"/>
      <c r="H20" s="967"/>
      <c r="I20" s="967"/>
      <c r="J20" s="968"/>
      <c r="K20" s="966"/>
      <c r="L20" s="967"/>
      <c r="M20" s="967"/>
      <c r="N20" s="968"/>
      <c r="O20" s="966"/>
      <c r="P20" s="968"/>
      <c r="Q20" s="966"/>
      <c r="R20" s="989"/>
      <c r="S20" s="571"/>
    </row>
    <row r="21" spans="1:19" ht="13.5" customHeight="1">
      <c r="A21" s="845"/>
      <c r="B21" s="878"/>
      <c r="C21" s="878"/>
      <c r="D21" s="879"/>
      <c r="E21" s="851"/>
      <c r="F21" s="970" t="s">
        <v>440</v>
      </c>
      <c r="G21" s="973" t="s">
        <v>440</v>
      </c>
      <c r="H21" s="974"/>
      <c r="I21" s="974" t="s">
        <v>457</v>
      </c>
      <c r="J21" s="990"/>
      <c r="K21" s="973" t="s">
        <v>440</v>
      </c>
      <c r="L21" s="979" t="s">
        <v>462</v>
      </c>
      <c r="M21" s="979"/>
      <c r="N21" s="980"/>
      <c r="O21" s="983"/>
      <c r="P21" s="980"/>
      <c r="Q21" s="983"/>
      <c r="R21" s="985"/>
      <c r="S21" s="571"/>
    </row>
    <row r="22" spans="1:19">
      <c r="A22" s="845"/>
      <c r="B22" s="873"/>
      <c r="C22" s="873"/>
      <c r="D22" s="873"/>
      <c r="E22" s="851"/>
      <c r="F22" s="971"/>
      <c r="G22" s="975"/>
      <c r="H22" s="976"/>
      <c r="I22" s="976"/>
      <c r="J22" s="991"/>
      <c r="K22" s="975"/>
      <c r="L22" s="981"/>
      <c r="M22" s="981"/>
      <c r="N22" s="982"/>
      <c r="O22" s="984"/>
      <c r="P22" s="982"/>
      <c r="Q22" s="984"/>
      <c r="R22" s="986"/>
      <c r="S22" s="571"/>
    </row>
    <row r="23" spans="1:19" ht="13.5" customHeight="1" thickBot="1">
      <c r="A23" s="845"/>
      <c r="B23" s="959" t="s">
        <v>463</v>
      </c>
      <c r="C23" s="874"/>
      <c r="D23" s="875"/>
      <c r="E23" s="851"/>
      <c r="F23" s="972"/>
      <c r="G23" s="977"/>
      <c r="H23" s="978"/>
      <c r="I23" s="960" t="s">
        <v>464</v>
      </c>
      <c r="J23" s="961"/>
      <c r="K23" s="977"/>
      <c r="L23" s="962" t="s">
        <v>461</v>
      </c>
      <c r="M23" s="962"/>
      <c r="N23" s="963"/>
      <c r="O23" s="964" t="s">
        <v>43</v>
      </c>
      <c r="P23" s="965"/>
      <c r="Q23" s="987"/>
      <c r="R23" s="988"/>
      <c r="S23" s="571"/>
    </row>
    <row r="24" spans="1:19" ht="14.25" thickBot="1">
      <c r="A24" s="845"/>
      <c r="B24" s="876"/>
      <c r="C24" s="876"/>
      <c r="D24" s="877"/>
      <c r="E24" s="851"/>
      <c r="F24" s="585"/>
      <c r="G24" s="966"/>
      <c r="H24" s="967"/>
      <c r="I24" s="967"/>
      <c r="J24" s="968"/>
      <c r="K24" s="966"/>
      <c r="L24" s="967"/>
      <c r="M24" s="967"/>
      <c r="N24" s="968"/>
      <c r="O24" s="966"/>
      <c r="P24" s="968"/>
      <c r="Q24" s="966"/>
      <c r="R24" s="989"/>
      <c r="S24" s="571"/>
    </row>
    <row r="25" spans="1:19">
      <c r="A25" s="845"/>
      <c r="B25" s="878"/>
      <c r="C25" s="878"/>
      <c r="D25" s="879"/>
      <c r="E25" s="851"/>
      <c r="F25" s="970" t="s">
        <v>440</v>
      </c>
      <c r="G25" s="973" t="s">
        <v>440</v>
      </c>
      <c r="H25" s="974"/>
      <c r="I25" s="992" t="s">
        <v>457</v>
      </c>
      <c r="J25" s="993"/>
      <c r="K25" s="973" t="s">
        <v>440</v>
      </c>
      <c r="L25" s="974" t="s">
        <v>465</v>
      </c>
      <c r="M25" s="974"/>
      <c r="N25" s="990"/>
      <c r="O25" s="973">
        <v>390</v>
      </c>
      <c r="P25" s="990"/>
      <c r="Q25" s="983"/>
      <c r="R25" s="985"/>
      <c r="S25" s="571"/>
    </row>
    <row r="26" spans="1:19">
      <c r="A26" s="845"/>
      <c r="B26" s="873"/>
      <c r="C26" s="873"/>
      <c r="D26" s="873"/>
      <c r="E26" s="851"/>
      <c r="F26" s="971"/>
      <c r="G26" s="975"/>
      <c r="H26" s="976"/>
      <c r="I26" s="994"/>
      <c r="J26" s="995"/>
      <c r="K26" s="975"/>
      <c r="L26" s="976"/>
      <c r="M26" s="976"/>
      <c r="N26" s="991"/>
      <c r="O26" s="975"/>
      <c r="P26" s="991"/>
      <c r="Q26" s="984"/>
      <c r="R26" s="986"/>
      <c r="S26" s="571"/>
    </row>
    <row r="27" spans="1:19" ht="13.5" customHeight="1" thickBot="1">
      <c r="A27" s="845"/>
      <c r="B27" s="959" t="s">
        <v>466</v>
      </c>
      <c r="C27" s="874"/>
      <c r="D27" s="875"/>
      <c r="E27" s="851"/>
      <c r="F27" s="972"/>
      <c r="G27" s="977"/>
      <c r="H27" s="978"/>
      <c r="I27" s="960" t="s">
        <v>467</v>
      </c>
      <c r="J27" s="961"/>
      <c r="K27" s="977"/>
      <c r="L27" s="962" t="s">
        <v>461</v>
      </c>
      <c r="M27" s="962"/>
      <c r="N27" s="963"/>
      <c r="O27" s="964" t="s">
        <v>43</v>
      </c>
      <c r="P27" s="965"/>
      <c r="Q27" s="987"/>
      <c r="R27" s="988"/>
      <c r="S27" s="571"/>
    </row>
    <row r="28" spans="1:19" ht="14.25" thickBot="1">
      <c r="A28" s="845"/>
      <c r="B28" s="876"/>
      <c r="C28" s="876"/>
      <c r="D28" s="877"/>
      <c r="E28" s="851"/>
      <c r="F28" s="585"/>
      <c r="G28" s="966"/>
      <c r="H28" s="967"/>
      <c r="I28" s="967"/>
      <c r="J28" s="968"/>
      <c r="K28" s="966"/>
      <c r="L28" s="967"/>
      <c r="M28" s="967"/>
      <c r="N28" s="968"/>
      <c r="O28" s="966"/>
      <c r="P28" s="968"/>
      <c r="Q28" s="966"/>
      <c r="R28" s="989"/>
      <c r="S28" s="571"/>
    </row>
    <row r="29" spans="1:19" ht="13.5" customHeight="1">
      <c r="A29" s="845"/>
      <c r="B29" s="878"/>
      <c r="C29" s="878"/>
      <c r="D29" s="879"/>
      <c r="E29" s="851"/>
      <c r="F29" s="970" t="s">
        <v>454</v>
      </c>
      <c r="G29" s="973" t="s">
        <v>440</v>
      </c>
      <c r="H29" s="974"/>
      <c r="I29" s="979"/>
      <c r="J29" s="980"/>
      <c r="K29" s="973" t="s">
        <v>440</v>
      </c>
      <c r="L29" s="979"/>
      <c r="M29" s="979"/>
      <c r="N29" s="980"/>
      <c r="O29" s="983"/>
      <c r="P29" s="980"/>
      <c r="Q29" s="983"/>
      <c r="R29" s="985"/>
      <c r="S29" s="571"/>
    </row>
    <row r="30" spans="1:19">
      <c r="A30" s="845"/>
      <c r="B30" s="922"/>
      <c r="C30" s="922"/>
      <c r="D30" s="922"/>
      <c r="E30" s="851"/>
      <c r="F30" s="971"/>
      <c r="G30" s="975"/>
      <c r="H30" s="976"/>
      <c r="I30" s="981"/>
      <c r="J30" s="982"/>
      <c r="K30" s="975"/>
      <c r="L30" s="981"/>
      <c r="M30" s="981"/>
      <c r="N30" s="982"/>
      <c r="O30" s="984"/>
      <c r="P30" s="982"/>
      <c r="Q30" s="984"/>
      <c r="R30" s="986"/>
      <c r="S30" s="571"/>
    </row>
    <row r="31" spans="1:19" ht="13.5" customHeight="1" thickBot="1">
      <c r="A31" s="845"/>
      <c r="B31" s="996" t="s">
        <v>468</v>
      </c>
      <c r="C31" s="923"/>
      <c r="D31" s="924"/>
      <c r="E31" s="851"/>
      <c r="F31" s="972"/>
      <c r="G31" s="977"/>
      <c r="H31" s="978"/>
      <c r="I31" s="960" t="s">
        <v>469</v>
      </c>
      <c r="J31" s="961"/>
      <c r="K31" s="977"/>
      <c r="L31" s="962" t="s">
        <v>442</v>
      </c>
      <c r="M31" s="962"/>
      <c r="N31" s="963"/>
      <c r="O31" s="964" t="s">
        <v>43</v>
      </c>
      <c r="P31" s="965"/>
      <c r="Q31" s="987"/>
      <c r="R31" s="988"/>
      <c r="S31" s="571"/>
    </row>
    <row r="32" spans="1:19" ht="13.5" customHeight="1">
      <c r="A32" s="845"/>
      <c r="B32" s="925"/>
      <c r="C32" s="925"/>
      <c r="D32" s="926"/>
      <c r="E32" s="851"/>
      <c r="F32" s="997" t="s">
        <v>443</v>
      </c>
      <c r="G32" s="998"/>
      <c r="H32" s="998"/>
      <c r="I32" s="998"/>
      <c r="J32" s="998"/>
      <c r="K32" s="998"/>
      <c r="L32" s="998"/>
      <c r="M32" s="998"/>
      <c r="N32" s="999"/>
      <c r="O32" s="1003" t="s">
        <v>470</v>
      </c>
      <c r="P32" s="1004"/>
      <c r="Q32" s="1005"/>
      <c r="R32" s="985"/>
      <c r="S32" s="571"/>
    </row>
    <row r="33" spans="1:20" ht="14.25" thickBot="1">
      <c r="A33" s="846"/>
      <c r="B33" s="925"/>
      <c r="C33" s="925"/>
      <c r="D33" s="926"/>
      <c r="E33" s="851"/>
      <c r="F33" s="1000"/>
      <c r="G33" s="1001"/>
      <c r="H33" s="1001"/>
      <c r="I33" s="1001"/>
      <c r="J33" s="1001"/>
      <c r="K33" s="1001"/>
      <c r="L33" s="1001"/>
      <c r="M33" s="1001"/>
      <c r="N33" s="1002"/>
      <c r="O33" s="1008">
        <v>600</v>
      </c>
      <c r="P33" s="1009"/>
      <c r="Q33" s="1006"/>
      <c r="R33" s="1007"/>
      <c r="S33" s="571"/>
    </row>
    <row r="34" spans="1:20" ht="18.75" customHeight="1" thickTop="1">
      <c r="A34" s="934" t="s">
        <v>444</v>
      </c>
      <c r="B34" s="935"/>
      <c r="C34" s="936"/>
      <c r="D34" s="936"/>
      <c r="E34" s="936"/>
      <c r="F34" s="936"/>
      <c r="G34" s="936"/>
      <c r="H34" s="936"/>
      <c r="I34" s="936"/>
      <c r="J34" s="936"/>
      <c r="K34" s="936"/>
      <c r="L34" s="936"/>
      <c r="M34" s="936"/>
      <c r="N34" s="936"/>
      <c r="O34" s="936"/>
      <c r="P34" s="936"/>
      <c r="Q34" s="936"/>
      <c r="R34" s="937"/>
      <c r="S34" s="571"/>
    </row>
    <row r="35" spans="1:20" ht="208.5" customHeight="1" thickBot="1">
      <c r="A35" s="934"/>
      <c r="B35" s="938" t="s">
        <v>445</v>
      </c>
      <c r="C35" s="939"/>
      <c r="D35" s="939"/>
      <c r="E35" s="939"/>
      <c r="F35" s="939"/>
      <c r="G35" s="939"/>
      <c r="H35" s="939"/>
      <c r="I35" s="939"/>
      <c r="J35" s="939"/>
      <c r="K35" s="939"/>
      <c r="L35" s="939"/>
      <c r="M35" s="939"/>
      <c r="N35" s="939"/>
      <c r="O35" s="939"/>
      <c r="P35" s="939"/>
      <c r="Q35" s="939"/>
      <c r="R35" s="940"/>
      <c r="S35" s="571"/>
    </row>
    <row r="36" spans="1:20" ht="126" customHeight="1" thickTop="1" thickBot="1">
      <c r="A36" s="941" t="s">
        <v>471</v>
      </c>
      <c r="B36" s="942"/>
      <c r="C36" s="942"/>
      <c r="D36" s="942"/>
      <c r="E36" s="942"/>
      <c r="F36" s="942"/>
      <c r="G36" s="942"/>
      <c r="H36" s="942"/>
      <c r="I36" s="942"/>
      <c r="J36" s="942"/>
      <c r="K36" s="942"/>
      <c r="L36" s="942"/>
      <c r="M36" s="942"/>
      <c r="N36" s="942"/>
      <c r="O36" s="942"/>
      <c r="P36" s="942"/>
      <c r="Q36" s="942"/>
      <c r="R36" s="943"/>
      <c r="S36" s="571"/>
    </row>
    <row r="37" spans="1:20" ht="8.25" customHeight="1">
      <c r="A37" s="577"/>
      <c r="B37" s="577"/>
      <c r="C37" s="577"/>
      <c r="D37" s="577"/>
      <c r="E37" s="577"/>
      <c r="F37" s="577"/>
      <c r="G37" s="577"/>
      <c r="H37" s="577"/>
      <c r="I37" s="577"/>
      <c r="J37" s="577"/>
      <c r="K37" s="577"/>
      <c r="L37" s="577"/>
      <c r="M37" s="577"/>
      <c r="N37" s="577"/>
      <c r="O37" s="577"/>
      <c r="P37" s="577"/>
      <c r="Q37" s="577"/>
      <c r="R37" s="577"/>
      <c r="S37" s="571"/>
    </row>
    <row r="38" spans="1:20">
      <c r="B38" s="578"/>
      <c r="C38" s="571"/>
      <c r="D38" s="571"/>
      <c r="E38" s="571"/>
      <c r="F38" s="571"/>
      <c r="G38" s="571"/>
      <c r="H38" s="571"/>
      <c r="I38" s="571"/>
      <c r="J38" s="571"/>
      <c r="K38" s="578"/>
      <c r="L38" s="571"/>
      <c r="M38" s="578"/>
      <c r="N38" s="571"/>
      <c r="O38" s="571"/>
      <c r="P38" s="571"/>
      <c r="Q38" s="571"/>
      <c r="R38" s="571"/>
      <c r="S38" s="571"/>
      <c r="T38" s="574"/>
    </row>
    <row r="39" spans="1:20" ht="22.5" customHeight="1">
      <c r="K39" s="944"/>
      <c r="L39" s="945"/>
      <c r="M39" s="944"/>
      <c r="N39" s="945"/>
      <c r="O39" s="579"/>
      <c r="P39" s="579"/>
      <c r="Q39" s="946"/>
      <c r="R39" s="946"/>
    </row>
    <row r="40" spans="1:20" ht="45" customHeight="1">
      <c r="K40" s="933"/>
      <c r="L40" s="933"/>
      <c r="M40" s="933"/>
      <c r="N40" s="933"/>
      <c r="O40" s="580"/>
      <c r="P40" s="580"/>
      <c r="Q40" s="581"/>
      <c r="R40" s="581"/>
      <c r="S40" s="582"/>
    </row>
    <row r="41" spans="1:20">
      <c r="A41" s="583"/>
      <c r="P41" s="582"/>
      <c r="Q41" s="582"/>
      <c r="R41" s="582"/>
    </row>
    <row r="42" spans="1:20">
      <c r="A42" s="583"/>
    </row>
    <row r="43" spans="1:20">
      <c r="A43" s="583"/>
    </row>
    <row r="81" spans="1:18">
      <c r="A81" s="582"/>
      <c r="B81" s="582"/>
      <c r="C81" s="582"/>
      <c r="D81" s="582"/>
      <c r="E81" s="582"/>
    </row>
    <row r="82" spans="1:18">
      <c r="A82" s="582"/>
      <c r="B82" s="582"/>
      <c r="C82" s="582"/>
      <c r="D82" s="582"/>
      <c r="E82" s="582"/>
      <c r="F82" s="582"/>
      <c r="G82" s="582"/>
      <c r="H82" s="582"/>
      <c r="I82" s="582"/>
      <c r="J82" s="582"/>
      <c r="K82" s="582"/>
      <c r="L82" s="582"/>
      <c r="M82" s="582"/>
      <c r="N82" s="582"/>
      <c r="O82" s="582"/>
      <c r="P82" s="582"/>
      <c r="Q82" s="582"/>
      <c r="R82" s="582"/>
    </row>
    <row r="83" spans="1:18">
      <c r="A83" s="582"/>
      <c r="B83" s="582"/>
      <c r="C83" s="582"/>
      <c r="D83" s="582"/>
      <c r="E83" s="582"/>
      <c r="F83" s="582"/>
      <c r="G83" s="582"/>
      <c r="H83" s="582"/>
      <c r="I83" s="582"/>
      <c r="J83" s="582"/>
      <c r="K83" s="582"/>
      <c r="L83" s="582"/>
      <c r="M83" s="582"/>
      <c r="N83" s="582"/>
      <c r="O83" s="582"/>
      <c r="P83" s="582"/>
      <c r="Q83" s="582"/>
      <c r="R83" s="582"/>
    </row>
    <row r="84" spans="1:18">
      <c r="A84" s="582"/>
      <c r="B84" s="582"/>
      <c r="C84" s="582"/>
      <c r="D84" s="582"/>
      <c r="E84" s="582"/>
      <c r="F84" s="582"/>
      <c r="G84" s="582"/>
      <c r="H84" s="582"/>
      <c r="I84" s="582"/>
      <c r="J84" s="582"/>
      <c r="K84" s="582"/>
      <c r="L84" s="582"/>
      <c r="M84" s="582"/>
      <c r="N84" s="582"/>
      <c r="O84" s="582"/>
      <c r="P84" s="582"/>
      <c r="Q84" s="582"/>
      <c r="R84" s="582"/>
    </row>
    <row r="85" spans="1:18">
      <c r="A85" s="582"/>
      <c r="B85" s="582"/>
      <c r="C85" s="582"/>
      <c r="D85" s="582"/>
      <c r="E85" s="582"/>
      <c r="F85" s="582"/>
      <c r="G85" s="582"/>
      <c r="H85" s="582"/>
      <c r="I85" s="582"/>
      <c r="J85" s="582"/>
      <c r="K85" s="582"/>
      <c r="L85" s="582"/>
      <c r="M85" s="582"/>
      <c r="N85" s="582"/>
      <c r="O85" s="582"/>
      <c r="P85" s="582"/>
      <c r="Q85" s="582"/>
      <c r="R85" s="582"/>
    </row>
    <row r="86" spans="1:18">
      <c r="A86" s="582"/>
      <c r="B86" s="582"/>
      <c r="C86" s="582"/>
      <c r="D86" s="582"/>
      <c r="E86" s="582"/>
      <c r="F86" s="582"/>
      <c r="G86" s="582"/>
      <c r="H86" s="582"/>
      <c r="I86" s="582"/>
      <c r="J86" s="582"/>
      <c r="K86" s="582"/>
      <c r="L86" s="582"/>
      <c r="M86" s="582"/>
      <c r="N86" s="582"/>
      <c r="O86" s="582"/>
      <c r="P86" s="582"/>
      <c r="Q86" s="582"/>
      <c r="R86" s="582"/>
    </row>
    <row r="87" spans="1:18">
      <c r="A87" s="582"/>
      <c r="B87" s="582"/>
      <c r="C87" s="582"/>
      <c r="D87" s="582"/>
      <c r="E87" s="582"/>
      <c r="F87" s="582"/>
      <c r="G87" s="582"/>
      <c r="H87" s="582"/>
      <c r="I87" s="582"/>
      <c r="J87" s="582"/>
      <c r="K87" s="582"/>
      <c r="L87" s="582"/>
      <c r="M87" s="582"/>
      <c r="N87" s="582"/>
      <c r="O87" s="582"/>
      <c r="P87" s="582"/>
      <c r="Q87" s="582"/>
      <c r="R87" s="582"/>
    </row>
    <row r="88" spans="1:18">
      <c r="A88" s="582"/>
      <c r="B88" s="582"/>
      <c r="C88" s="582"/>
      <c r="D88" s="582"/>
      <c r="E88" s="582"/>
      <c r="F88" s="582"/>
      <c r="G88" s="582"/>
      <c r="H88" s="582"/>
      <c r="I88" s="582"/>
      <c r="J88" s="582"/>
      <c r="K88" s="582"/>
      <c r="L88" s="582"/>
      <c r="M88" s="582"/>
      <c r="N88" s="582"/>
      <c r="O88" s="582"/>
      <c r="P88" s="582"/>
      <c r="Q88" s="582"/>
      <c r="R88" s="582"/>
    </row>
    <row r="89" spans="1:18">
      <c r="A89" s="582"/>
      <c r="B89" s="582"/>
      <c r="C89" s="582"/>
      <c r="D89" s="582"/>
      <c r="E89" s="582"/>
      <c r="F89" s="582"/>
      <c r="G89" s="582"/>
      <c r="H89" s="582"/>
      <c r="I89" s="582"/>
      <c r="J89" s="582"/>
      <c r="K89" s="582"/>
      <c r="L89" s="582"/>
      <c r="M89" s="582"/>
      <c r="N89" s="582"/>
      <c r="O89" s="582"/>
      <c r="P89" s="582"/>
      <c r="Q89" s="582"/>
      <c r="R89" s="582"/>
    </row>
    <row r="90" spans="1:18">
      <c r="A90" s="582"/>
      <c r="B90" s="582"/>
      <c r="C90" s="582"/>
      <c r="D90" s="582"/>
      <c r="E90" s="582"/>
      <c r="F90" s="582"/>
      <c r="G90" s="582"/>
      <c r="H90" s="582"/>
      <c r="I90" s="582"/>
      <c r="J90" s="582"/>
      <c r="K90" s="582"/>
      <c r="L90" s="582"/>
      <c r="M90" s="582"/>
      <c r="N90" s="582"/>
      <c r="O90" s="582"/>
      <c r="P90" s="582"/>
      <c r="Q90" s="582"/>
      <c r="R90" s="582"/>
    </row>
    <row r="91" spans="1:18">
      <c r="A91" s="582"/>
      <c r="B91" s="582"/>
      <c r="C91" s="582"/>
      <c r="D91" s="582"/>
      <c r="E91" s="582"/>
      <c r="F91" s="582"/>
      <c r="G91" s="582"/>
      <c r="H91" s="582"/>
      <c r="I91" s="582"/>
      <c r="J91" s="582"/>
      <c r="K91" s="582"/>
      <c r="L91" s="582"/>
      <c r="M91" s="582"/>
      <c r="N91" s="582"/>
      <c r="O91" s="582"/>
      <c r="P91" s="582"/>
      <c r="Q91" s="582"/>
      <c r="R91" s="582"/>
    </row>
    <row r="92" spans="1:18">
      <c r="A92" s="582"/>
      <c r="B92" s="582"/>
      <c r="C92" s="582"/>
      <c r="D92" s="582"/>
      <c r="E92" s="582"/>
      <c r="F92" s="582"/>
      <c r="G92" s="582"/>
      <c r="H92" s="582"/>
      <c r="I92" s="582"/>
      <c r="J92" s="582"/>
      <c r="K92" s="582"/>
      <c r="L92" s="582"/>
      <c r="M92" s="582"/>
      <c r="N92" s="582"/>
      <c r="O92" s="582"/>
      <c r="P92" s="582"/>
      <c r="Q92" s="582"/>
      <c r="R92" s="582"/>
    </row>
    <row r="93" spans="1:18">
      <c r="A93" s="582"/>
      <c r="B93" s="582"/>
      <c r="C93" s="582"/>
      <c r="D93" s="582"/>
      <c r="E93" s="582"/>
      <c r="F93" s="582"/>
      <c r="G93" s="582"/>
      <c r="H93" s="582"/>
      <c r="I93" s="582"/>
      <c r="J93" s="582"/>
      <c r="K93" s="582"/>
      <c r="L93" s="582"/>
      <c r="M93" s="582"/>
      <c r="N93" s="582"/>
      <c r="O93" s="582"/>
      <c r="P93" s="582"/>
      <c r="Q93" s="582"/>
      <c r="R93" s="582"/>
    </row>
    <row r="94" spans="1:18">
      <c r="A94" s="582"/>
      <c r="B94" s="582"/>
      <c r="C94" s="582"/>
      <c r="D94" s="582"/>
      <c r="E94" s="582"/>
      <c r="F94" s="582"/>
      <c r="G94" s="582"/>
      <c r="H94" s="582"/>
      <c r="I94" s="582"/>
      <c r="J94" s="582"/>
      <c r="K94" s="582"/>
      <c r="L94" s="582"/>
      <c r="M94" s="582"/>
      <c r="N94" s="582"/>
      <c r="O94" s="582"/>
      <c r="P94" s="582"/>
      <c r="Q94" s="582"/>
      <c r="R94" s="582"/>
    </row>
    <row r="95" spans="1:18">
      <c r="A95" s="582"/>
      <c r="B95" s="582"/>
      <c r="C95" s="582"/>
      <c r="D95" s="582"/>
      <c r="E95" s="582"/>
      <c r="F95" s="582"/>
      <c r="G95" s="582"/>
      <c r="H95" s="582"/>
      <c r="I95" s="582"/>
      <c r="J95" s="582"/>
      <c r="K95" s="582"/>
      <c r="L95" s="582"/>
      <c r="M95" s="582"/>
      <c r="N95" s="582"/>
      <c r="O95" s="582"/>
      <c r="P95" s="582"/>
      <c r="Q95" s="582"/>
      <c r="R95" s="582"/>
    </row>
    <row r="96" spans="1:18">
      <c r="A96" s="582"/>
      <c r="B96" s="582"/>
      <c r="C96" s="582"/>
      <c r="D96" s="582"/>
      <c r="E96" s="582"/>
      <c r="F96" s="582"/>
      <c r="G96" s="582"/>
      <c r="H96" s="582"/>
      <c r="I96" s="582"/>
      <c r="J96" s="582"/>
      <c r="K96" s="582"/>
      <c r="L96" s="582"/>
      <c r="M96" s="582"/>
      <c r="N96" s="582"/>
      <c r="O96" s="582"/>
      <c r="P96" s="582"/>
      <c r="Q96" s="582"/>
      <c r="R96" s="582"/>
    </row>
    <row r="97" spans="1:18">
      <c r="A97" s="582"/>
      <c r="B97" s="582"/>
      <c r="C97" s="582"/>
      <c r="D97" s="582"/>
      <c r="E97" s="582"/>
      <c r="F97" s="582"/>
      <c r="G97" s="582"/>
      <c r="H97" s="582"/>
      <c r="I97" s="582"/>
      <c r="J97" s="582"/>
      <c r="K97" s="582"/>
      <c r="L97" s="582"/>
      <c r="M97" s="582"/>
      <c r="N97" s="582"/>
      <c r="O97" s="582"/>
      <c r="P97" s="582"/>
      <c r="Q97" s="582"/>
      <c r="R97" s="582"/>
    </row>
    <row r="98" spans="1:18">
      <c r="A98" s="582"/>
      <c r="B98" s="582"/>
      <c r="C98" s="582"/>
      <c r="D98" s="582"/>
      <c r="E98" s="582"/>
      <c r="F98" s="582"/>
      <c r="G98" s="582"/>
      <c r="H98" s="582"/>
      <c r="I98" s="582"/>
      <c r="J98" s="582"/>
      <c r="K98" s="582"/>
      <c r="L98" s="582"/>
      <c r="M98" s="582"/>
      <c r="N98" s="582"/>
      <c r="O98" s="582"/>
      <c r="P98" s="582"/>
      <c r="Q98" s="582"/>
      <c r="R98" s="582"/>
    </row>
    <row r="99" spans="1:18">
      <c r="A99" s="582"/>
      <c r="B99" s="582"/>
      <c r="C99" s="582"/>
      <c r="D99" s="582"/>
      <c r="E99" s="582"/>
      <c r="F99" s="582"/>
      <c r="G99" s="582"/>
      <c r="H99" s="582"/>
      <c r="I99" s="582"/>
      <c r="J99" s="582"/>
      <c r="K99" s="582"/>
      <c r="L99" s="582"/>
      <c r="M99" s="582"/>
      <c r="N99" s="582"/>
      <c r="O99" s="582"/>
      <c r="P99" s="582"/>
      <c r="Q99" s="582"/>
      <c r="R99" s="582"/>
    </row>
    <row r="100" spans="1:18">
      <c r="A100" s="582"/>
      <c r="B100" s="582"/>
      <c r="C100" s="582"/>
      <c r="D100" s="582"/>
      <c r="E100" s="582"/>
      <c r="F100" s="582"/>
      <c r="G100" s="582"/>
      <c r="H100" s="582"/>
      <c r="I100" s="582"/>
      <c r="J100" s="582"/>
      <c r="K100" s="582"/>
      <c r="L100" s="582"/>
      <c r="M100" s="582"/>
      <c r="N100" s="582"/>
      <c r="O100" s="582"/>
      <c r="P100" s="582"/>
      <c r="Q100" s="582"/>
      <c r="R100" s="582"/>
    </row>
  </sheetData>
  <mergeCells count="113">
    <mergeCell ref="K39:L39"/>
    <mergeCell ref="M39:N39"/>
    <mergeCell ref="Q39:R39"/>
    <mergeCell ref="K40:L40"/>
    <mergeCell ref="M40:N40"/>
    <mergeCell ref="Q32:R33"/>
    <mergeCell ref="O33:P33"/>
    <mergeCell ref="A34:A35"/>
    <mergeCell ref="B34:R34"/>
    <mergeCell ref="B35:R35"/>
    <mergeCell ref="A36:R36"/>
    <mergeCell ref="B30:D30"/>
    <mergeCell ref="B31:D33"/>
    <mergeCell ref="I31:J31"/>
    <mergeCell ref="L31:N31"/>
    <mergeCell ref="O31:P31"/>
    <mergeCell ref="F32:N33"/>
    <mergeCell ref="O32:P32"/>
    <mergeCell ref="Q28:R28"/>
    <mergeCell ref="F29:F31"/>
    <mergeCell ref="G29:H31"/>
    <mergeCell ref="I29:J30"/>
    <mergeCell ref="K29:K31"/>
    <mergeCell ref="L29:N30"/>
    <mergeCell ref="O29:P30"/>
    <mergeCell ref="Q29:R31"/>
    <mergeCell ref="B26:D26"/>
    <mergeCell ref="B27:D29"/>
    <mergeCell ref="I27:J27"/>
    <mergeCell ref="L27:N27"/>
    <mergeCell ref="O27:P27"/>
    <mergeCell ref="G28:J28"/>
    <mergeCell ref="K28:N28"/>
    <mergeCell ref="O28:P28"/>
    <mergeCell ref="Q24:R24"/>
    <mergeCell ref="F25:F27"/>
    <mergeCell ref="G25:H27"/>
    <mergeCell ref="I25:J26"/>
    <mergeCell ref="K25:K27"/>
    <mergeCell ref="L25:N26"/>
    <mergeCell ref="O25:P26"/>
    <mergeCell ref="Q25:R27"/>
    <mergeCell ref="B22:D22"/>
    <mergeCell ref="B23:D25"/>
    <mergeCell ref="I23:J23"/>
    <mergeCell ref="L23:N23"/>
    <mergeCell ref="O23:P23"/>
    <mergeCell ref="G24:J24"/>
    <mergeCell ref="K24:N24"/>
    <mergeCell ref="O24:P24"/>
    <mergeCell ref="Q20:R20"/>
    <mergeCell ref="F21:F23"/>
    <mergeCell ref="G21:H23"/>
    <mergeCell ref="I21:J22"/>
    <mergeCell ref="K21:K23"/>
    <mergeCell ref="L21:N22"/>
    <mergeCell ref="O21:P22"/>
    <mergeCell ref="Q21:R23"/>
    <mergeCell ref="G13:H15"/>
    <mergeCell ref="I13:J14"/>
    <mergeCell ref="K13:K15"/>
    <mergeCell ref="L13:N14"/>
    <mergeCell ref="O13:P14"/>
    <mergeCell ref="Q13:R15"/>
    <mergeCell ref="B18:D18"/>
    <mergeCell ref="B19:D21"/>
    <mergeCell ref="I19:J19"/>
    <mergeCell ref="L19:N19"/>
    <mergeCell ref="O19:P19"/>
    <mergeCell ref="G20:J20"/>
    <mergeCell ref="K20:N20"/>
    <mergeCell ref="O20:P20"/>
    <mergeCell ref="Q16:R16"/>
    <mergeCell ref="F17:F19"/>
    <mergeCell ref="G17:H19"/>
    <mergeCell ref="I17:J18"/>
    <mergeCell ref="K17:K19"/>
    <mergeCell ref="L17:N18"/>
    <mergeCell ref="O17:P18"/>
    <mergeCell ref="Q17:R19"/>
    <mergeCell ref="B11:R11"/>
    <mergeCell ref="A12:A33"/>
    <mergeCell ref="B12:D13"/>
    <mergeCell ref="E12:E33"/>
    <mergeCell ref="G12:J12"/>
    <mergeCell ref="K12:N12"/>
    <mergeCell ref="O12:P12"/>
    <mergeCell ref="A7:B9"/>
    <mergeCell ref="D7:Q7"/>
    <mergeCell ref="C8:C9"/>
    <mergeCell ref="D8:G9"/>
    <mergeCell ref="H8:I9"/>
    <mergeCell ref="J8:P9"/>
    <mergeCell ref="Q8:Q9"/>
    <mergeCell ref="B14:D14"/>
    <mergeCell ref="B15:D17"/>
    <mergeCell ref="I15:J15"/>
    <mergeCell ref="L15:N15"/>
    <mergeCell ref="O15:P15"/>
    <mergeCell ref="G16:J16"/>
    <mergeCell ref="K16:N16"/>
    <mergeCell ref="O16:P16"/>
    <mergeCell ref="Q12:R12"/>
    <mergeCell ref="F13:F15"/>
    <mergeCell ref="A1:R1"/>
    <mergeCell ref="A2:R2"/>
    <mergeCell ref="A3:R3"/>
    <mergeCell ref="A4:R4"/>
    <mergeCell ref="A5:R5"/>
    <mergeCell ref="A6:R6"/>
    <mergeCell ref="R8:R9"/>
    <mergeCell ref="S8:S9"/>
    <mergeCell ref="A10:R10"/>
  </mergeCells>
  <phoneticPr fontId="3"/>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M477"/>
  <sheetViews>
    <sheetView zoomScaleNormal="100" zoomScaleSheetLayoutView="100" workbookViewId="0">
      <selection activeCell="N13" sqref="N13"/>
    </sheetView>
  </sheetViews>
  <sheetFormatPr defaultRowHeight="13.5"/>
  <cols>
    <col min="1" max="1" width="6" style="136" customWidth="1"/>
    <col min="2" max="3" width="10.375" style="136" customWidth="1"/>
    <col min="4" max="10" width="9.25" style="136" customWidth="1"/>
    <col min="11" max="11" width="9.625" style="136" customWidth="1"/>
    <col min="12" max="12" width="13.375" style="136" customWidth="1"/>
    <col min="13" max="16384" width="9" style="138"/>
  </cols>
  <sheetData>
    <row r="1" spans="1:13" ht="30" customHeight="1">
      <c r="B1" s="1012" t="s">
        <v>234</v>
      </c>
      <c r="C1" s="1012"/>
      <c r="D1" s="1012"/>
      <c r="E1" s="1012"/>
      <c r="F1" s="1012"/>
      <c r="G1" s="1012"/>
      <c r="H1" s="1012"/>
      <c r="I1" s="1012"/>
      <c r="J1" s="1012"/>
      <c r="K1" s="1012"/>
      <c r="L1" s="1012"/>
      <c r="M1" s="137"/>
    </row>
    <row r="2" spans="1:13" ht="30" customHeight="1" thickBot="1">
      <c r="B2" s="1013" t="s">
        <v>235</v>
      </c>
      <c r="C2" s="1013"/>
      <c r="D2" s="1013"/>
      <c r="E2" s="1013"/>
      <c r="F2" s="1013"/>
      <c r="G2" s="1013"/>
      <c r="H2" s="1013"/>
      <c r="I2" s="1013"/>
      <c r="J2" s="1013"/>
      <c r="K2" s="1013"/>
      <c r="L2" s="1013"/>
    </row>
    <row r="3" spans="1:13" s="145" customFormat="1" ht="22.5" customHeight="1">
      <c r="A3" s="139"/>
      <c r="B3" s="140" t="s">
        <v>33</v>
      </c>
      <c r="C3" s="141"/>
      <c r="D3" s="142" t="s">
        <v>34</v>
      </c>
      <c r="E3" s="143"/>
      <c r="F3" s="143"/>
      <c r="G3" s="143"/>
      <c r="H3" s="143"/>
      <c r="I3" s="143"/>
      <c r="J3" s="143"/>
      <c r="K3" s="143"/>
      <c r="L3" s="144" t="s">
        <v>35</v>
      </c>
    </row>
    <row r="4" spans="1:13" s="145" customFormat="1" ht="22.5" customHeight="1">
      <c r="A4" s="139"/>
      <c r="B4" s="146" t="s">
        <v>36</v>
      </c>
      <c r="C4" s="147"/>
      <c r="D4" s="148" t="s">
        <v>49</v>
      </c>
      <c r="E4" s="149"/>
      <c r="F4" s="149"/>
      <c r="G4" s="149"/>
      <c r="H4" s="149"/>
      <c r="I4" s="149"/>
      <c r="J4" s="149"/>
      <c r="K4" s="149"/>
      <c r="L4" s="150" t="s">
        <v>50</v>
      </c>
    </row>
    <row r="5" spans="1:13" s="145" customFormat="1" ht="22.5" customHeight="1">
      <c r="A5" s="139"/>
      <c r="B5" s="151" t="s">
        <v>51</v>
      </c>
      <c r="C5" s="152"/>
      <c r="D5" s="153" t="s">
        <v>52</v>
      </c>
      <c r="E5" s="153" t="s">
        <v>53</v>
      </c>
      <c r="F5" s="153" t="s">
        <v>54</v>
      </c>
      <c r="G5" s="153" t="s">
        <v>55</v>
      </c>
      <c r="H5" s="153" t="s">
        <v>56</v>
      </c>
      <c r="I5" s="153" t="s">
        <v>57</v>
      </c>
      <c r="J5" s="153" t="s">
        <v>37</v>
      </c>
      <c r="K5" s="153" t="s">
        <v>38</v>
      </c>
      <c r="L5" s="154"/>
    </row>
    <row r="6" spans="1:13" s="145" customFormat="1" ht="22.5" customHeight="1">
      <c r="A6" s="139"/>
      <c r="B6" s="155" t="s">
        <v>39</v>
      </c>
      <c r="C6" s="153" t="s">
        <v>40</v>
      </c>
      <c r="D6" s="156" t="s">
        <v>41</v>
      </c>
      <c r="E6" s="156"/>
      <c r="F6" s="156"/>
      <c r="G6" s="156"/>
      <c r="H6" s="156"/>
      <c r="I6" s="156"/>
      <c r="J6" s="156"/>
      <c r="K6" s="156"/>
      <c r="L6" s="157" t="s">
        <v>42</v>
      </c>
    </row>
    <row r="7" spans="1:13" s="145" customFormat="1">
      <c r="A7" s="139"/>
      <c r="B7" s="158" t="s">
        <v>43</v>
      </c>
      <c r="C7" s="159" t="s">
        <v>43</v>
      </c>
      <c r="D7" s="159" t="s">
        <v>43</v>
      </c>
      <c r="E7" s="159" t="s">
        <v>43</v>
      </c>
      <c r="F7" s="159" t="s">
        <v>43</v>
      </c>
      <c r="G7" s="159" t="s">
        <v>43</v>
      </c>
      <c r="H7" s="159" t="s">
        <v>43</v>
      </c>
      <c r="I7" s="159" t="s">
        <v>43</v>
      </c>
      <c r="J7" s="159" t="s">
        <v>43</v>
      </c>
      <c r="K7" s="159" t="s">
        <v>43</v>
      </c>
      <c r="L7" s="160" t="s">
        <v>43</v>
      </c>
    </row>
    <row r="8" spans="1:13" s="145" customFormat="1" ht="65.25" customHeight="1">
      <c r="A8" s="139"/>
      <c r="B8" s="161">
        <v>88000</v>
      </c>
      <c r="C8" s="162" t="s">
        <v>44</v>
      </c>
      <c r="D8" s="162">
        <v>0</v>
      </c>
      <c r="E8" s="162">
        <v>0</v>
      </c>
      <c r="F8" s="162">
        <v>0</v>
      </c>
      <c r="G8" s="162">
        <v>0</v>
      </c>
      <c r="H8" s="162">
        <v>0</v>
      </c>
      <c r="I8" s="162">
        <v>0</v>
      </c>
      <c r="J8" s="162">
        <v>0</v>
      </c>
      <c r="K8" s="162">
        <v>0</v>
      </c>
      <c r="L8" s="163" t="s">
        <v>173</v>
      </c>
    </row>
    <row r="9" spans="1:13" s="145" customFormat="1" ht="13.5" customHeight="1">
      <c r="A9" s="139"/>
      <c r="B9" s="161"/>
      <c r="C9" s="162"/>
      <c r="D9" s="162"/>
      <c r="E9" s="162"/>
      <c r="F9" s="162"/>
      <c r="G9" s="162"/>
      <c r="H9" s="162"/>
      <c r="I9" s="162"/>
      <c r="J9" s="162"/>
      <c r="K9" s="162"/>
      <c r="L9" s="163"/>
    </row>
    <row r="10" spans="1:13">
      <c r="A10" s="164">
        <v>1</v>
      </c>
      <c r="B10" s="165">
        <v>88000</v>
      </c>
      <c r="C10" s="166">
        <v>89000</v>
      </c>
      <c r="D10" s="166">
        <v>130</v>
      </c>
      <c r="E10" s="166">
        <v>0</v>
      </c>
      <c r="F10" s="166">
        <v>0</v>
      </c>
      <c r="G10" s="166">
        <v>0</v>
      </c>
      <c r="H10" s="166">
        <v>0</v>
      </c>
      <c r="I10" s="166">
        <v>0</v>
      </c>
      <c r="J10" s="166">
        <v>0</v>
      </c>
      <c r="K10" s="166">
        <v>0</v>
      </c>
      <c r="L10" s="167">
        <v>3200</v>
      </c>
    </row>
    <row r="11" spans="1:13">
      <c r="A11" s="164">
        <v>2</v>
      </c>
      <c r="B11" s="165">
        <v>89000</v>
      </c>
      <c r="C11" s="166">
        <v>90000</v>
      </c>
      <c r="D11" s="166">
        <v>180</v>
      </c>
      <c r="E11" s="166">
        <v>0</v>
      </c>
      <c r="F11" s="166">
        <v>0</v>
      </c>
      <c r="G11" s="166">
        <v>0</v>
      </c>
      <c r="H11" s="166">
        <v>0</v>
      </c>
      <c r="I11" s="166">
        <v>0</v>
      </c>
      <c r="J11" s="166">
        <v>0</v>
      </c>
      <c r="K11" s="166">
        <v>0</v>
      </c>
      <c r="L11" s="167">
        <v>3200</v>
      </c>
    </row>
    <row r="12" spans="1:13">
      <c r="A12" s="164">
        <v>3</v>
      </c>
      <c r="B12" s="165">
        <v>90000</v>
      </c>
      <c r="C12" s="166">
        <v>91000</v>
      </c>
      <c r="D12" s="166">
        <v>230</v>
      </c>
      <c r="E12" s="166">
        <v>0</v>
      </c>
      <c r="F12" s="166">
        <v>0</v>
      </c>
      <c r="G12" s="166">
        <v>0</v>
      </c>
      <c r="H12" s="166">
        <v>0</v>
      </c>
      <c r="I12" s="166">
        <v>0</v>
      </c>
      <c r="J12" s="166">
        <v>0</v>
      </c>
      <c r="K12" s="166">
        <v>0</v>
      </c>
      <c r="L12" s="167">
        <v>3200</v>
      </c>
    </row>
    <row r="13" spans="1:13">
      <c r="A13" s="164">
        <v>4</v>
      </c>
      <c r="B13" s="165">
        <v>91000</v>
      </c>
      <c r="C13" s="166">
        <v>92000</v>
      </c>
      <c r="D13" s="166">
        <v>290</v>
      </c>
      <c r="E13" s="166">
        <v>0</v>
      </c>
      <c r="F13" s="166">
        <v>0</v>
      </c>
      <c r="G13" s="166">
        <v>0</v>
      </c>
      <c r="H13" s="166">
        <v>0</v>
      </c>
      <c r="I13" s="166">
        <v>0</v>
      </c>
      <c r="J13" s="166">
        <v>0</v>
      </c>
      <c r="K13" s="166">
        <v>0</v>
      </c>
      <c r="L13" s="167">
        <v>3200</v>
      </c>
    </row>
    <row r="14" spans="1:13">
      <c r="A14" s="164">
        <v>5</v>
      </c>
      <c r="B14" s="165">
        <v>92000</v>
      </c>
      <c r="C14" s="166">
        <v>93000</v>
      </c>
      <c r="D14" s="166">
        <v>340</v>
      </c>
      <c r="E14" s="166">
        <v>0</v>
      </c>
      <c r="F14" s="166">
        <v>0</v>
      </c>
      <c r="G14" s="166">
        <v>0</v>
      </c>
      <c r="H14" s="166">
        <v>0</v>
      </c>
      <c r="I14" s="166">
        <v>0</v>
      </c>
      <c r="J14" s="166">
        <v>0</v>
      </c>
      <c r="K14" s="166">
        <v>0</v>
      </c>
      <c r="L14" s="167">
        <v>3300</v>
      </c>
    </row>
    <row r="15" spans="1:13">
      <c r="A15" s="164"/>
      <c r="B15" s="165"/>
      <c r="C15" s="166"/>
      <c r="D15" s="166"/>
      <c r="E15" s="166"/>
      <c r="F15" s="166"/>
      <c r="G15" s="166"/>
      <c r="H15" s="166"/>
      <c r="I15" s="166"/>
      <c r="J15" s="166"/>
      <c r="K15" s="166"/>
      <c r="L15" s="167"/>
    </row>
    <row r="16" spans="1:13">
      <c r="A16" s="164">
        <v>6</v>
      </c>
      <c r="B16" s="165">
        <v>93000</v>
      </c>
      <c r="C16" s="166">
        <v>94000</v>
      </c>
      <c r="D16" s="166">
        <v>390</v>
      </c>
      <c r="E16" s="166">
        <v>0</v>
      </c>
      <c r="F16" s="166">
        <v>0</v>
      </c>
      <c r="G16" s="166">
        <v>0</v>
      </c>
      <c r="H16" s="166">
        <v>0</v>
      </c>
      <c r="I16" s="166">
        <v>0</v>
      </c>
      <c r="J16" s="166">
        <v>0</v>
      </c>
      <c r="K16" s="166">
        <v>0</v>
      </c>
      <c r="L16" s="167">
        <v>3300</v>
      </c>
    </row>
    <row r="17" spans="1:12">
      <c r="A17" s="164">
        <v>7</v>
      </c>
      <c r="B17" s="165">
        <v>94000</v>
      </c>
      <c r="C17" s="166">
        <v>95000</v>
      </c>
      <c r="D17" s="166">
        <v>440</v>
      </c>
      <c r="E17" s="166">
        <v>0</v>
      </c>
      <c r="F17" s="166">
        <v>0</v>
      </c>
      <c r="G17" s="166">
        <v>0</v>
      </c>
      <c r="H17" s="166">
        <v>0</v>
      </c>
      <c r="I17" s="166">
        <v>0</v>
      </c>
      <c r="J17" s="166">
        <v>0</v>
      </c>
      <c r="K17" s="166">
        <v>0</v>
      </c>
      <c r="L17" s="167">
        <v>3300</v>
      </c>
    </row>
    <row r="18" spans="1:12">
      <c r="A18" s="164">
        <v>8</v>
      </c>
      <c r="B18" s="165">
        <v>95000</v>
      </c>
      <c r="C18" s="166">
        <v>96000</v>
      </c>
      <c r="D18" s="166">
        <v>490</v>
      </c>
      <c r="E18" s="166">
        <v>0</v>
      </c>
      <c r="F18" s="166">
        <v>0</v>
      </c>
      <c r="G18" s="166">
        <v>0</v>
      </c>
      <c r="H18" s="166">
        <v>0</v>
      </c>
      <c r="I18" s="166">
        <v>0</v>
      </c>
      <c r="J18" s="166">
        <v>0</v>
      </c>
      <c r="K18" s="166">
        <v>0</v>
      </c>
      <c r="L18" s="167">
        <v>3400</v>
      </c>
    </row>
    <row r="19" spans="1:12">
      <c r="A19" s="164">
        <v>9</v>
      </c>
      <c r="B19" s="165">
        <v>96000</v>
      </c>
      <c r="C19" s="166">
        <v>97000</v>
      </c>
      <c r="D19" s="166">
        <v>540</v>
      </c>
      <c r="E19" s="166">
        <v>0</v>
      </c>
      <c r="F19" s="166">
        <v>0</v>
      </c>
      <c r="G19" s="166">
        <v>0</v>
      </c>
      <c r="H19" s="166">
        <v>0</v>
      </c>
      <c r="I19" s="166">
        <v>0</v>
      </c>
      <c r="J19" s="166">
        <v>0</v>
      </c>
      <c r="K19" s="166">
        <v>0</v>
      </c>
      <c r="L19" s="167">
        <v>3400</v>
      </c>
    </row>
    <row r="20" spans="1:12">
      <c r="A20" s="164">
        <v>10</v>
      </c>
      <c r="B20" s="165">
        <v>97000</v>
      </c>
      <c r="C20" s="166">
        <v>98000</v>
      </c>
      <c r="D20" s="166">
        <v>590</v>
      </c>
      <c r="E20" s="166">
        <v>0</v>
      </c>
      <c r="F20" s="166">
        <v>0</v>
      </c>
      <c r="G20" s="166">
        <v>0</v>
      </c>
      <c r="H20" s="166">
        <v>0</v>
      </c>
      <c r="I20" s="166">
        <v>0</v>
      </c>
      <c r="J20" s="166">
        <v>0</v>
      </c>
      <c r="K20" s="166">
        <v>0</v>
      </c>
      <c r="L20" s="167">
        <v>3500</v>
      </c>
    </row>
    <row r="21" spans="1:12">
      <c r="A21" s="164"/>
      <c r="B21" s="165"/>
      <c r="C21" s="166"/>
      <c r="D21" s="166"/>
      <c r="E21" s="166"/>
      <c r="F21" s="166"/>
      <c r="G21" s="166"/>
      <c r="H21" s="166"/>
      <c r="I21" s="166"/>
      <c r="J21" s="166"/>
      <c r="K21" s="166"/>
      <c r="L21" s="167"/>
    </row>
    <row r="22" spans="1:12">
      <c r="A22" s="164">
        <v>11</v>
      </c>
      <c r="B22" s="165">
        <v>98000</v>
      </c>
      <c r="C22" s="166">
        <v>99000</v>
      </c>
      <c r="D22" s="166">
        <v>640</v>
      </c>
      <c r="E22" s="166">
        <v>0</v>
      </c>
      <c r="F22" s="166">
        <v>0</v>
      </c>
      <c r="G22" s="166">
        <v>0</v>
      </c>
      <c r="H22" s="166">
        <v>0</v>
      </c>
      <c r="I22" s="166">
        <v>0</v>
      </c>
      <c r="J22" s="166">
        <v>0</v>
      </c>
      <c r="K22" s="166">
        <v>0</v>
      </c>
      <c r="L22" s="167">
        <v>3500</v>
      </c>
    </row>
    <row r="23" spans="1:12">
      <c r="A23" s="164">
        <v>12</v>
      </c>
      <c r="B23" s="165">
        <v>99000</v>
      </c>
      <c r="C23" s="166">
        <v>101000</v>
      </c>
      <c r="D23" s="166">
        <v>720</v>
      </c>
      <c r="E23" s="166">
        <v>0</v>
      </c>
      <c r="F23" s="166">
        <v>0</v>
      </c>
      <c r="G23" s="166">
        <v>0</v>
      </c>
      <c r="H23" s="166">
        <v>0</v>
      </c>
      <c r="I23" s="166">
        <v>0</v>
      </c>
      <c r="J23" s="166">
        <v>0</v>
      </c>
      <c r="K23" s="166">
        <v>0</v>
      </c>
      <c r="L23" s="167">
        <v>3600</v>
      </c>
    </row>
    <row r="24" spans="1:12">
      <c r="A24" s="164">
        <v>13</v>
      </c>
      <c r="B24" s="165">
        <v>101000</v>
      </c>
      <c r="C24" s="166">
        <v>103000</v>
      </c>
      <c r="D24" s="166">
        <v>830</v>
      </c>
      <c r="E24" s="166">
        <v>0</v>
      </c>
      <c r="F24" s="166">
        <v>0</v>
      </c>
      <c r="G24" s="166">
        <v>0</v>
      </c>
      <c r="H24" s="166">
        <v>0</v>
      </c>
      <c r="I24" s="166">
        <v>0</v>
      </c>
      <c r="J24" s="166">
        <v>0</v>
      </c>
      <c r="K24" s="166">
        <v>0</v>
      </c>
      <c r="L24" s="167">
        <v>3600</v>
      </c>
    </row>
    <row r="25" spans="1:12">
      <c r="A25" s="164">
        <v>14</v>
      </c>
      <c r="B25" s="165">
        <v>103000</v>
      </c>
      <c r="C25" s="166">
        <v>105000</v>
      </c>
      <c r="D25" s="166">
        <v>930</v>
      </c>
      <c r="E25" s="166">
        <v>0</v>
      </c>
      <c r="F25" s="166">
        <v>0</v>
      </c>
      <c r="G25" s="166">
        <v>0</v>
      </c>
      <c r="H25" s="166">
        <v>0</v>
      </c>
      <c r="I25" s="166">
        <v>0</v>
      </c>
      <c r="J25" s="166">
        <v>0</v>
      </c>
      <c r="K25" s="166">
        <v>0</v>
      </c>
      <c r="L25" s="167">
        <v>3700</v>
      </c>
    </row>
    <row r="26" spans="1:12">
      <c r="A26" s="164">
        <v>15</v>
      </c>
      <c r="B26" s="165">
        <v>105000</v>
      </c>
      <c r="C26" s="166">
        <v>107000</v>
      </c>
      <c r="D26" s="166">
        <v>1030</v>
      </c>
      <c r="E26" s="166">
        <v>0</v>
      </c>
      <c r="F26" s="166">
        <v>0</v>
      </c>
      <c r="G26" s="166">
        <v>0</v>
      </c>
      <c r="H26" s="166">
        <v>0</v>
      </c>
      <c r="I26" s="166">
        <v>0</v>
      </c>
      <c r="J26" s="166">
        <v>0</v>
      </c>
      <c r="K26" s="166">
        <v>0</v>
      </c>
      <c r="L26" s="167">
        <v>3800</v>
      </c>
    </row>
    <row r="27" spans="1:12">
      <c r="A27" s="164"/>
      <c r="B27" s="165"/>
      <c r="C27" s="166"/>
      <c r="D27" s="166"/>
      <c r="E27" s="166"/>
      <c r="F27" s="166"/>
      <c r="G27" s="166"/>
      <c r="H27" s="166"/>
      <c r="I27" s="166"/>
      <c r="J27" s="166"/>
      <c r="K27" s="166"/>
      <c r="L27" s="167"/>
    </row>
    <row r="28" spans="1:12">
      <c r="A28" s="164">
        <v>16</v>
      </c>
      <c r="B28" s="165">
        <v>107000</v>
      </c>
      <c r="C28" s="166">
        <v>109000</v>
      </c>
      <c r="D28" s="166">
        <v>1130</v>
      </c>
      <c r="E28" s="166">
        <v>0</v>
      </c>
      <c r="F28" s="166">
        <v>0</v>
      </c>
      <c r="G28" s="166">
        <v>0</v>
      </c>
      <c r="H28" s="166">
        <v>0</v>
      </c>
      <c r="I28" s="166">
        <v>0</v>
      </c>
      <c r="J28" s="166">
        <v>0</v>
      </c>
      <c r="K28" s="166">
        <v>0</v>
      </c>
      <c r="L28" s="167">
        <v>3800</v>
      </c>
    </row>
    <row r="29" spans="1:12">
      <c r="A29" s="164">
        <v>17</v>
      </c>
      <c r="B29" s="165">
        <v>109000</v>
      </c>
      <c r="C29" s="166">
        <v>111000</v>
      </c>
      <c r="D29" s="166">
        <v>1240</v>
      </c>
      <c r="E29" s="166">
        <v>0</v>
      </c>
      <c r="F29" s="166">
        <v>0</v>
      </c>
      <c r="G29" s="166">
        <v>0</v>
      </c>
      <c r="H29" s="166">
        <v>0</v>
      </c>
      <c r="I29" s="166">
        <v>0</v>
      </c>
      <c r="J29" s="166">
        <v>0</v>
      </c>
      <c r="K29" s="166">
        <v>0</v>
      </c>
      <c r="L29" s="167">
        <v>3900</v>
      </c>
    </row>
    <row r="30" spans="1:12">
      <c r="A30" s="164">
        <v>18</v>
      </c>
      <c r="B30" s="165">
        <v>111000</v>
      </c>
      <c r="C30" s="166">
        <v>113000</v>
      </c>
      <c r="D30" s="166">
        <v>1340</v>
      </c>
      <c r="E30" s="166">
        <v>0</v>
      </c>
      <c r="F30" s="166">
        <v>0</v>
      </c>
      <c r="G30" s="166">
        <v>0</v>
      </c>
      <c r="H30" s="166">
        <v>0</v>
      </c>
      <c r="I30" s="166">
        <v>0</v>
      </c>
      <c r="J30" s="166">
        <v>0</v>
      </c>
      <c r="K30" s="166">
        <v>0</v>
      </c>
      <c r="L30" s="167">
        <v>4000</v>
      </c>
    </row>
    <row r="31" spans="1:12">
      <c r="A31" s="164">
        <v>19</v>
      </c>
      <c r="B31" s="165">
        <v>113000</v>
      </c>
      <c r="C31" s="166">
        <v>115000</v>
      </c>
      <c r="D31" s="166">
        <v>1440</v>
      </c>
      <c r="E31" s="166">
        <v>0</v>
      </c>
      <c r="F31" s="166">
        <v>0</v>
      </c>
      <c r="G31" s="166">
        <v>0</v>
      </c>
      <c r="H31" s="166">
        <v>0</v>
      </c>
      <c r="I31" s="166">
        <v>0</v>
      </c>
      <c r="J31" s="166">
        <v>0</v>
      </c>
      <c r="K31" s="166">
        <v>0</v>
      </c>
      <c r="L31" s="167">
        <v>4100</v>
      </c>
    </row>
    <row r="32" spans="1:12">
      <c r="A32" s="164">
        <v>20</v>
      </c>
      <c r="B32" s="165">
        <v>115000</v>
      </c>
      <c r="C32" s="166">
        <v>117000</v>
      </c>
      <c r="D32" s="166">
        <v>1540</v>
      </c>
      <c r="E32" s="166">
        <v>0</v>
      </c>
      <c r="F32" s="166">
        <v>0</v>
      </c>
      <c r="G32" s="166">
        <v>0</v>
      </c>
      <c r="H32" s="166">
        <v>0</v>
      </c>
      <c r="I32" s="166">
        <v>0</v>
      </c>
      <c r="J32" s="166">
        <v>0</v>
      </c>
      <c r="K32" s="166">
        <v>0</v>
      </c>
      <c r="L32" s="167">
        <v>4100</v>
      </c>
    </row>
    <row r="33" spans="1:12">
      <c r="A33" s="164"/>
      <c r="B33" s="165"/>
      <c r="C33" s="166"/>
      <c r="D33" s="166"/>
      <c r="E33" s="166"/>
      <c r="F33" s="166"/>
      <c r="G33" s="166"/>
      <c r="H33" s="166"/>
      <c r="I33" s="166"/>
      <c r="J33" s="166"/>
      <c r="K33" s="166"/>
      <c r="L33" s="167"/>
    </row>
    <row r="34" spans="1:12">
      <c r="A34" s="164">
        <v>21</v>
      </c>
      <c r="B34" s="165">
        <v>117000</v>
      </c>
      <c r="C34" s="166">
        <v>119000</v>
      </c>
      <c r="D34" s="166">
        <v>1640</v>
      </c>
      <c r="E34" s="166">
        <v>0</v>
      </c>
      <c r="F34" s="166">
        <v>0</v>
      </c>
      <c r="G34" s="166">
        <v>0</v>
      </c>
      <c r="H34" s="166">
        <v>0</v>
      </c>
      <c r="I34" s="166">
        <v>0</v>
      </c>
      <c r="J34" s="166">
        <v>0</v>
      </c>
      <c r="K34" s="166">
        <v>0</v>
      </c>
      <c r="L34" s="167">
        <v>4200</v>
      </c>
    </row>
    <row r="35" spans="1:12">
      <c r="A35" s="164">
        <v>22</v>
      </c>
      <c r="B35" s="165">
        <v>119000</v>
      </c>
      <c r="C35" s="166">
        <v>121000</v>
      </c>
      <c r="D35" s="166">
        <v>1750</v>
      </c>
      <c r="E35" s="166">
        <v>120</v>
      </c>
      <c r="F35" s="166">
        <v>0</v>
      </c>
      <c r="G35" s="166">
        <v>0</v>
      </c>
      <c r="H35" s="166">
        <v>0</v>
      </c>
      <c r="I35" s="166">
        <v>0</v>
      </c>
      <c r="J35" s="166">
        <v>0</v>
      </c>
      <c r="K35" s="166">
        <v>0</v>
      </c>
      <c r="L35" s="167">
        <v>4300</v>
      </c>
    </row>
    <row r="36" spans="1:12">
      <c r="A36" s="164">
        <v>23</v>
      </c>
      <c r="B36" s="165">
        <v>121000</v>
      </c>
      <c r="C36" s="166">
        <v>123000</v>
      </c>
      <c r="D36" s="166">
        <v>1850</v>
      </c>
      <c r="E36" s="166">
        <v>220</v>
      </c>
      <c r="F36" s="166">
        <v>0</v>
      </c>
      <c r="G36" s="166">
        <v>0</v>
      </c>
      <c r="H36" s="166">
        <v>0</v>
      </c>
      <c r="I36" s="166">
        <v>0</v>
      </c>
      <c r="J36" s="166">
        <v>0</v>
      </c>
      <c r="K36" s="166">
        <v>0</v>
      </c>
      <c r="L36" s="167">
        <v>4500</v>
      </c>
    </row>
    <row r="37" spans="1:12">
      <c r="A37" s="164">
        <v>24</v>
      </c>
      <c r="B37" s="165">
        <v>123000</v>
      </c>
      <c r="C37" s="166">
        <v>125000</v>
      </c>
      <c r="D37" s="166">
        <v>1950</v>
      </c>
      <c r="E37" s="166">
        <v>330</v>
      </c>
      <c r="F37" s="166">
        <v>0</v>
      </c>
      <c r="G37" s="166">
        <v>0</v>
      </c>
      <c r="H37" s="166">
        <v>0</v>
      </c>
      <c r="I37" s="166">
        <v>0</v>
      </c>
      <c r="J37" s="166">
        <v>0</v>
      </c>
      <c r="K37" s="166">
        <v>0</v>
      </c>
      <c r="L37" s="167">
        <v>4800</v>
      </c>
    </row>
    <row r="38" spans="1:12">
      <c r="A38" s="164">
        <v>25</v>
      </c>
      <c r="B38" s="165">
        <v>125000</v>
      </c>
      <c r="C38" s="166">
        <v>127000</v>
      </c>
      <c r="D38" s="166">
        <v>2050</v>
      </c>
      <c r="E38" s="166">
        <v>430</v>
      </c>
      <c r="F38" s="166">
        <v>0</v>
      </c>
      <c r="G38" s="166">
        <v>0</v>
      </c>
      <c r="H38" s="166">
        <v>0</v>
      </c>
      <c r="I38" s="166">
        <v>0</v>
      </c>
      <c r="J38" s="166">
        <v>0</v>
      </c>
      <c r="K38" s="166">
        <v>0</v>
      </c>
      <c r="L38" s="167">
        <v>5100</v>
      </c>
    </row>
    <row r="39" spans="1:12">
      <c r="A39" s="164"/>
      <c r="B39" s="165"/>
      <c r="C39" s="166"/>
      <c r="D39" s="166"/>
      <c r="E39" s="166"/>
      <c r="F39" s="166"/>
      <c r="G39" s="166"/>
      <c r="H39" s="166"/>
      <c r="I39" s="166"/>
      <c r="J39" s="166"/>
      <c r="K39" s="166"/>
      <c r="L39" s="167"/>
    </row>
    <row r="40" spans="1:12">
      <c r="A40" s="164">
        <v>26</v>
      </c>
      <c r="B40" s="165">
        <v>127000</v>
      </c>
      <c r="C40" s="166">
        <v>129000</v>
      </c>
      <c r="D40" s="166">
        <v>2150</v>
      </c>
      <c r="E40" s="166">
        <v>530</v>
      </c>
      <c r="F40" s="166">
        <v>0</v>
      </c>
      <c r="G40" s="166">
        <v>0</v>
      </c>
      <c r="H40" s="166">
        <v>0</v>
      </c>
      <c r="I40" s="166">
        <v>0</v>
      </c>
      <c r="J40" s="166">
        <v>0</v>
      </c>
      <c r="K40" s="166">
        <v>0</v>
      </c>
      <c r="L40" s="167">
        <v>5400</v>
      </c>
    </row>
    <row r="41" spans="1:12">
      <c r="A41" s="164">
        <v>27</v>
      </c>
      <c r="B41" s="165">
        <v>129000</v>
      </c>
      <c r="C41" s="166">
        <v>131000</v>
      </c>
      <c r="D41" s="166">
        <v>2260</v>
      </c>
      <c r="E41" s="166">
        <v>630</v>
      </c>
      <c r="F41" s="166">
        <v>0</v>
      </c>
      <c r="G41" s="166">
        <v>0</v>
      </c>
      <c r="H41" s="166">
        <v>0</v>
      </c>
      <c r="I41" s="166">
        <v>0</v>
      </c>
      <c r="J41" s="166">
        <v>0</v>
      </c>
      <c r="K41" s="166">
        <v>0</v>
      </c>
      <c r="L41" s="167">
        <v>5700</v>
      </c>
    </row>
    <row r="42" spans="1:12">
      <c r="A42" s="164">
        <v>28</v>
      </c>
      <c r="B42" s="165">
        <v>131000</v>
      </c>
      <c r="C42" s="166">
        <v>133000</v>
      </c>
      <c r="D42" s="166">
        <v>2360</v>
      </c>
      <c r="E42" s="166">
        <v>740</v>
      </c>
      <c r="F42" s="166">
        <v>0</v>
      </c>
      <c r="G42" s="166">
        <v>0</v>
      </c>
      <c r="H42" s="166">
        <v>0</v>
      </c>
      <c r="I42" s="166">
        <v>0</v>
      </c>
      <c r="J42" s="166">
        <v>0</v>
      </c>
      <c r="K42" s="166">
        <v>0</v>
      </c>
      <c r="L42" s="167">
        <v>6000</v>
      </c>
    </row>
    <row r="43" spans="1:12">
      <c r="A43" s="164">
        <v>29</v>
      </c>
      <c r="B43" s="165">
        <v>133000</v>
      </c>
      <c r="C43" s="166">
        <v>135000</v>
      </c>
      <c r="D43" s="166">
        <v>2460</v>
      </c>
      <c r="E43" s="166">
        <v>840</v>
      </c>
      <c r="F43" s="166">
        <v>0</v>
      </c>
      <c r="G43" s="166">
        <v>0</v>
      </c>
      <c r="H43" s="166">
        <v>0</v>
      </c>
      <c r="I43" s="166">
        <v>0</v>
      </c>
      <c r="J43" s="166">
        <v>0</v>
      </c>
      <c r="K43" s="166">
        <v>0</v>
      </c>
      <c r="L43" s="167">
        <v>6300</v>
      </c>
    </row>
    <row r="44" spans="1:12">
      <c r="A44" s="164">
        <v>30</v>
      </c>
      <c r="B44" s="165">
        <v>135000</v>
      </c>
      <c r="C44" s="166">
        <v>137000</v>
      </c>
      <c r="D44" s="166">
        <v>2550</v>
      </c>
      <c r="E44" s="166">
        <v>930</v>
      </c>
      <c r="F44" s="166">
        <v>0</v>
      </c>
      <c r="G44" s="166">
        <v>0</v>
      </c>
      <c r="H44" s="166">
        <v>0</v>
      </c>
      <c r="I44" s="166">
        <v>0</v>
      </c>
      <c r="J44" s="166">
        <v>0</v>
      </c>
      <c r="K44" s="166">
        <v>0</v>
      </c>
      <c r="L44" s="167">
        <v>6600</v>
      </c>
    </row>
    <row r="45" spans="1:12">
      <c r="A45" s="164"/>
      <c r="B45" s="165"/>
      <c r="C45" s="166"/>
      <c r="D45" s="166"/>
      <c r="E45" s="166"/>
      <c r="F45" s="166"/>
      <c r="G45" s="166"/>
      <c r="H45" s="166"/>
      <c r="I45" s="166"/>
      <c r="J45" s="166"/>
      <c r="K45" s="166"/>
      <c r="L45" s="167"/>
    </row>
    <row r="46" spans="1:12">
      <c r="A46" s="164">
        <v>31</v>
      </c>
      <c r="B46" s="165">
        <v>137000</v>
      </c>
      <c r="C46" s="166">
        <v>139000</v>
      </c>
      <c r="D46" s="166">
        <v>2610</v>
      </c>
      <c r="E46" s="166">
        <v>990</v>
      </c>
      <c r="F46" s="166">
        <v>0</v>
      </c>
      <c r="G46" s="166">
        <v>0</v>
      </c>
      <c r="H46" s="166">
        <v>0</v>
      </c>
      <c r="I46" s="166">
        <v>0</v>
      </c>
      <c r="J46" s="166">
        <v>0</v>
      </c>
      <c r="K46" s="166">
        <v>0</v>
      </c>
      <c r="L46" s="167">
        <v>6800</v>
      </c>
    </row>
    <row r="47" spans="1:12">
      <c r="A47" s="164">
        <v>32</v>
      </c>
      <c r="B47" s="165">
        <v>139000</v>
      </c>
      <c r="C47" s="166">
        <v>141000</v>
      </c>
      <c r="D47" s="166">
        <v>2680</v>
      </c>
      <c r="E47" s="166">
        <v>1050</v>
      </c>
      <c r="F47" s="166">
        <v>0</v>
      </c>
      <c r="G47" s="166">
        <v>0</v>
      </c>
      <c r="H47" s="166">
        <v>0</v>
      </c>
      <c r="I47" s="166">
        <v>0</v>
      </c>
      <c r="J47" s="166">
        <v>0</v>
      </c>
      <c r="K47" s="166">
        <v>0</v>
      </c>
      <c r="L47" s="167">
        <v>7100</v>
      </c>
    </row>
    <row r="48" spans="1:12">
      <c r="A48" s="164">
        <v>33</v>
      </c>
      <c r="B48" s="165">
        <v>141000</v>
      </c>
      <c r="C48" s="166">
        <v>143000</v>
      </c>
      <c r="D48" s="166">
        <v>2740</v>
      </c>
      <c r="E48" s="166">
        <v>1110</v>
      </c>
      <c r="F48" s="166">
        <v>0</v>
      </c>
      <c r="G48" s="166">
        <v>0</v>
      </c>
      <c r="H48" s="166">
        <v>0</v>
      </c>
      <c r="I48" s="166">
        <v>0</v>
      </c>
      <c r="J48" s="166">
        <v>0</v>
      </c>
      <c r="K48" s="166">
        <v>0</v>
      </c>
      <c r="L48" s="167">
        <v>7500</v>
      </c>
    </row>
    <row r="49" spans="1:12">
      <c r="A49" s="164">
        <v>34</v>
      </c>
      <c r="B49" s="165">
        <v>143000</v>
      </c>
      <c r="C49" s="166">
        <v>145000</v>
      </c>
      <c r="D49" s="166">
        <v>2800</v>
      </c>
      <c r="E49" s="166">
        <v>1170</v>
      </c>
      <c r="F49" s="166">
        <v>0</v>
      </c>
      <c r="G49" s="166">
        <v>0</v>
      </c>
      <c r="H49" s="166">
        <v>0</v>
      </c>
      <c r="I49" s="166">
        <v>0</v>
      </c>
      <c r="J49" s="166">
        <v>0</v>
      </c>
      <c r="K49" s="166">
        <v>0</v>
      </c>
      <c r="L49" s="167">
        <v>7800</v>
      </c>
    </row>
    <row r="50" spans="1:12">
      <c r="A50" s="164">
        <v>35</v>
      </c>
      <c r="B50" s="165">
        <v>145000</v>
      </c>
      <c r="C50" s="166">
        <v>147000</v>
      </c>
      <c r="D50" s="166">
        <v>2860</v>
      </c>
      <c r="E50" s="166">
        <v>1240</v>
      </c>
      <c r="F50" s="166">
        <v>0</v>
      </c>
      <c r="G50" s="166">
        <v>0</v>
      </c>
      <c r="H50" s="166">
        <v>0</v>
      </c>
      <c r="I50" s="166">
        <v>0</v>
      </c>
      <c r="J50" s="166">
        <v>0</v>
      </c>
      <c r="K50" s="166">
        <v>0</v>
      </c>
      <c r="L50" s="167">
        <v>8100</v>
      </c>
    </row>
    <row r="51" spans="1:12">
      <c r="A51" s="164"/>
      <c r="B51" s="165"/>
      <c r="C51" s="166"/>
      <c r="D51" s="166"/>
      <c r="E51" s="166"/>
      <c r="F51" s="166"/>
      <c r="G51" s="166"/>
      <c r="H51" s="166"/>
      <c r="I51" s="166"/>
      <c r="J51" s="166"/>
      <c r="K51" s="166"/>
      <c r="L51" s="167"/>
    </row>
    <row r="52" spans="1:12">
      <c r="A52" s="164">
        <v>36</v>
      </c>
      <c r="B52" s="165">
        <v>147000</v>
      </c>
      <c r="C52" s="166">
        <v>149000</v>
      </c>
      <c r="D52" s="166">
        <v>2920</v>
      </c>
      <c r="E52" s="166">
        <v>1300</v>
      </c>
      <c r="F52" s="166">
        <v>0</v>
      </c>
      <c r="G52" s="166">
        <v>0</v>
      </c>
      <c r="H52" s="166">
        <v>0</v>
      </c>
      <c r="I52" s="166">
        <v>0</v>
      </c>
      <c r="J52" s="166">
        <v>0</v>
      </c>
      <c r="K52" s="166">
        <v>0</v>
      </c>
      <c r="L52" s="167">
        <v>8400</v>
      </c>
    </row>
    <row r="53" spans="1:12">
      <c r="A53" s="164">
        <v>37</v>
      </c>
      <c r="B53" s="165">
        <v>149000</v>
      </c>
      <c r="C53" s="166">
        <v>151000</v>
      </c>
      <c r="D53" s="166">
        <v>2980</v>
      </c>
      <c r="E53" s="166">
        <v>1360</v>
      </c>
      <c r="F53" s="166">
        <v>0</v>
      </c>
      <c r="G53" s="166">
        <v>0</v>
      </c>
      <c r="H53" s="166">
        <v>0</v>
      </c>
      <c r="I53" s="166">
        <v>0</v>
      </c>
      <c r="J53" s="166">
        <v>0</v>
      </c>
      <c r="K53" s="166">
        <v>0</v>
      </c>
      <c r="L53" s="167">
        <v>8700</v>
      </c>
    </row>
    <row r="54" spans="1:12">
      <c r="A54" s="164">
        <v>38</v>
      </c>
      <c r="B54" s="165">
        <v>151000</v>
      </c>
      <c r="C54" s="166">
        <v>153000</v>
      </c>
      <c r="D54" s="166">
        <v>3050</v>
      </c>
      <c r="E54" s="166">
        <v>1430</v>
      </c>
      <c r="F54" s="166">
        <v>0</v>
      </c>
      <c r="G54" s="166">
        <v>0</v>
      </c>
      <c r="H54" s="166">
        <v>0</v>
      </c>
      <c r="I54" s="166">
        <v>0</v>
      </c>
      <c r="J54" s="166">
        <v>0</v>
      </c>
      <c r="K54" s="166">
        <v>0</v>
      </c>
      <c r="L54" s="167">
        <v>9000</v>
      </c>
    </row>
    <row r="55" spans="1:12">
      <c r="A55" s="164">
        <v>39</v>
      </c>
      <c r="B55" s="165">
        <v>153000</v>
      </c>
      <c r="C55" s="166">
        <v>155000</v>
      </c>
      <c r="D55" s="166">
        <v>3120</v>
      </c>
      <c r="E55" s="166">
        <v>1500</v>
      </c>
      <c r="F55" s="166">
        <v>0</v>
      </c>
      <c r="G55" s="166">
        <v>0</v>
      </c>
      <c r="H55" s="166">
        <v>0</v>
      </c>
      <c r="I55" s="166">
        <v>0</v>
      </c>
      <c r="J55" s="166">
        <v>0</v>
      </c>
      <c r="K55" s="166">
        <v>0</v>
      </c>
      <c r="L55" s="167">
        <v>9300</v>
      </c>
    </row>
    <row r="56" spans="1:12">
      <c r="A56" s="164">
        <v>40</v>
      </c>
      <c r="B56" s="165">
        <v>155000</v>
      </c>
      <c r="C56" s="166">
        <v>157000</v>
      </c>
      <c r="D56" s="166">
        <v>3200</v>
      </c>
      <c r="E56" s="166">
        <v>1570</v>
      </c>
      <c r="F56" s="166">
        <v>0</v>
      </c>
      <c r="G56" s="166">
        <v>0</v>
      </c>
      <c r="H56" s="166">
        <v>0</v>
      </c>
      <c r="I56" s="166">
        <v>0</v>
      </c>
      <c r="J56" s="166">
        <v>0</v>
      </c>
      <c r="K56" s="166">
        <v>0</v>
      </c>
      <c r="L56" s="167">
        <v>9600</v>
      </c>
    </row>
    <row r="57" spans="1:12">
      <c r="A57" s="164"/>
      <c r="B57" s="165"/>
      <c r="C57" s="166"/>
      <c r="D57" s="166"/>
      <c r="E57" s="166"/>
      <c r="F57" s="166"/>
      <c r="G57" s="166"/>
      <c r="H57" s="166"/>
      <c r="I57" s="166"/>
      <c r="J57" s="166"/>
      <c r="K57" s="166"/>
      <c r="L57" s="167"/>
    </row>
    <row r="58" spans="1:12">
      <c r="A58" s="164">
        <v>41</v>
      </c>
      <c r="B58" s="165">
        <v>157000</v>
      </c>
      <c r="C58" s="166">
        <v>159000</v>
      </c>
      <c r="D58" s="166">
        <v>3270</v>
      </c>
      <c r="E58" s="166">
        <v>1640</v>
      </c>
      <c r="F58" s="166">
        <v>0</v>
      </c>
      <c r="G58" s="166">
        <v>0</v>
      </c>
      <c r="H58" s="166">
        <v>0</v>
      </c>
      <c r="I58" s="166">
        <v>0</v>
      </c>
      <c r="J58" s="166">
        <v>0</v>
      </c>
      <c r="K58" s="166">
        <v>0</v>
      </c>
      <c r="L58" s="167">
        <v>9900</v>
      </c>
    </row>
    <row r="59" spans="1:12">
      <c r="A59" s="164">
        <v>42</v>
      </c>
      <c r="B59" s="165">
        <v>159000</v>
      </c>
      <c r="C59" s="166">
        <v>161000</v>
      </c>
      <c r="D59" s="166">
        <v>3340</v>
      </c>
      <c r="E59" s="166">
        <v>1720</v>
      </c>
      <c r="F59" s="166">
        <v>100</v>
      </c>
      <c r="G59" s="166">
        <v>0</v>
      </c>
      <c r="H59" s="166">
        <v>0</v>
      </c>
      <c r="I59" s="166">
        <v>0</v>
      </c>
      <c r="J59" s="166">
        <v>0</v>
      </c>
      <c r="K59" s="166">
        <v>0</v>
      </c>
      <c r="L59" s="167">
        <v>10200</v>
      </c>
    </row>
    <row r="60" spans="1:12">
      <c r="A60" s="164">
        <v>43</v>
      </c>
      <c r="B60" s="165">
        <v>161000</v>
      </c>
      <c r="C60" s="166">
        <v>163000</v>
      </c>
      <c r="D60" s="166">
        <v>3410</v>
      </c>
      <c r="E60" s="166">
        <v>1790</v>
      </c>
      <c r="F60" s="166">
        <v>170</v>
      </c>
      <c r="G60" s="166">
        <v>0</v>
      </c>
      <c r="H60" s="166">
        <v>0</v>
      </c>
      <c r="I60" s="166">
        <v>0</v>
      </c>
      <c r="J60" s="166">
        <v>0</v>
      </c>
      <c r="K60" s="166">
        <v>0</v>
      </c>
      <c r="L60" s="167">
        <v>10500</v>
      </c>
    </row>
    <row r="61" spans="1:12">
      <c r="A61" s="164">
        <v>44</v>
      </c>
      <c r="B61" s="165">
        <v>163000</v>
      </c>
      <c r="C61" s="166">
        <v>165000</v>
      </c>
      <c r="D61" s="166">
        <v>3480</v>
      </c>
      <c r="E61" s="166">
        <v>1860</v>
      </c>
      <c r="F61" s="166">
        <v>250</v>
      </c>
      <c r="G61" s="166">
        <v>0</v>
      </c>
      <c r="H61" s="166">
        <v>0</v>
      </c>
      <c r="I61" s="166">
        <v>0</v>
      </c>
      <c r="J61" s="166">
        <v>0</v>
      </c>
      <c r="K61" s="166">
        <v>0</v>
      </c>
      <c r="L61" s="167">
        <v>10800</v>
      </c>
    </row>
    <row r="62" spans="1:12">
      <c r="A62" s="164">
        <v>45</v>
      </c>
      <c r="B62" s="165">
        <v>165000</v>
      </c>
      <c r="C62" s="166">
        <v>167000</v>
      </c>
      <c r="D62" s="166">
        <v>3550</v>
      </c>
      <c r="E62" s="166">
        <v>1930</v>
      </c>
      <c r="F62" s="166">
        <v>320</v>
      </c>
      <c r="G62" s="166">
        <v>0</v>
      </c>
      <c r="H62" s="166">
        <v>0</v>
      </c>
      <c r="I62" s="166">
        <v>0</v>
      </c>
      <c r="J62" s="166">
        <v>0</v>
      </c>
      <c r="K62" s="166">
        <v>0</v>
      </c>
      <c r="L62" s="167">
        <v>11100</v>
      </c>
    </row>
    <row r="63" spans="1:12" ht="14.25" thickBot="1">
      <c r="A63" s="164"/>
      <c r="B63" s="168"/>
      <c r="C63" s="169"/>
      <c r="D63" s="169"/>
      <c r="E63" s="169"/>
      <c r="F63" s="169"/>
      <c r="G63" s="169"/>
      <c r="H63" s="169"/>
      <c r="I63" s="169"/>
      <c r="J63" s="169"/>
      <c r="K63" s="169"/>
      <c r="L63" s="170"/>
    </row>
    <row r="64" spans="1:12">
      <c r="A64" s="164">
        <v>46</v>
      </c>
      <c r="B64" s="165">
        <v>167000</v>
      </c>
      <c r="C64" s="166">
        <v>169000</v>
      </c>
      <c r="D64" s="166">
        <v>3620</v>
      </c>
      <c r="E64" s="166">
        <v>2000</v>
      </c>
      <c r="F64" s="166">
        <v>390</v>
      </c>
      <c r="G64" s="166">
        <v>0</v>
      </c>
      <c r="H64" s="166">
        <v>0</v>
      </c>
      <c r="I64" s="166">
        <v>0</v>
      </c>
      <c r="J64" s="166">
        <v>0</v>
      </c>
      <c r="K64" s="166">
        <v>0</v>
      </c>
      <c r="L64" s="167">
        <v>11400</v>
      </c>
    </row>
    <row r="65" spans="1:12">
      <c r="A65" s="164">
        <v>47</v>
      </c>
      <c r="B65" s="165">
        <v>169000</v>
      </c>
      <c r="C65" s="166">
        <v>171000</v>
      </c>
      <c r="D65" s="166">
        <v>3700</v>
      </c>
      <c r="E65" s="166">
        <v>2070</v>
      </c>
      <c r="F65" s="166">
        <v>460</v>
      </c>
      <c r="G65" s="166">
        <v>0</v>
      </c>
      <c r="H65" s="166">
        <v>0</v>
      </c>
      <c r="I65" s="166">
        <v>0</v>
      </c>
      <c r="J65" s="166">
        <v>0</v>
      </c>
      <c r="K65" s="166">
        <v>0</v>
      </c>
      <c r="L65" s="167">
        <v>11700</v>
      </c>
    </row>
    <row r="66" spans="1:12">
      <c r="A66" s="164">
        <v>48</v>
      </c>
      <c r="B66" s="165">
        <v>171000</v>
      </c>
      <c r="C66" s="166">
        <v>173000</v>
      </c>
      <c r="D66" s="166">
        <v>3770</v>
      </c>
      <c r="E66" s="166">
        <v>2140</v>
      </c>
      <c r="F66" s="166">
        <v>530</v>
      </c>
      <c r="G66" s="166">
        <v>0</v>
      </c>
      <c r="H66" s="166">
        <v>0</v>
      </c>
      <c r="I66" s="166">
        <v>0</v>
      </c>
      <c r="J66" s="166">
        <v>0</v>
      </c>
      <c r="K66" s="166">
        <v>0</v>
      </c>
      <c r="L66" s="167">
        <v>12000</v>
      </c>
    </row>
    <row r="67" spans="1:12">
      <c r="A67" s="164">
        <v>49</v>
      </c>
      <c r="B67" s="165">
        <v>173000</v>
      </c>
      <c r="C67" s="166">
        <v>175000</v>
      </c>
      <c r="D67" s="166">
        <v>3840</v>
      </c>
      <c r="E67" s="166">
        <v>2220</v>
      </c>
      <c r="F67" s="166">
        <v>600</v>
      </c>
      <c r="G67" s="166">
        <v>0</v>
      </c>
      <c r="H67" s="166">
        <v>0</v>
      </c>
      <c r="I67" s="166">
        <v>0</v>
      </c>
      <c r="J67" s="166">
        <v>0</v>
      </c>
      <c r="K67" s="166">
        <v>0</v>
      </c>
      <c r="L67" s="167">
        <v>12400</v>
      </c>
    </row>
    <row r="68" spans="1:12">
      <c r="A68" s="164">
        <v>50</v>
      </c>
      <c r="B68" s="165">
        <v>175000</v>
      </c>
      <c r="C68" s="166">
        <v>177000</v>
      </c>
      <c r="D68" s="166">
        <v>3910</v>
      </c>
      <c r="E68" s="166">
        <v>2290</v>
      </c>
      <c r="F68" s="166">
        <v>670</v>
      </c>
      <c r="G68" s="166">
        <v>0</v>
      </c>
      <c r="H68" s="166">
        <v>0</v>
      </c>
      <c r="I68" s="166">
        <v>0</v>
      </c>
      <c r="J68" s="166">
        <v>0</v>
      </c>
      <c r="K68" s="166">
        <v>0</v>
      </c>
      <c r="L68" s="167">
        <v>12700</v>
      </c>
    </row>
    <row r="69" spans="1:12">
      <c r="A69" s="164"/>
      <c r="B69" s="165"/>
      <c r="C69" s="166"/>
      <c r="D69" s="166"/>
      <c r="E69" s="166"/>
      <c r="F69" s="166"/>
      <c r="G69" s="166"/>
      <c r="H69" s="166"/>
      <c r="I69" s="166"/>
      <c r="J69" s="166"/>
      <c r="K69" s="166"/>
      <c r="L69" s="167"/>
    </row>
    <row r="70" spans="1:12">
      <c r="A70" s="164">
        <v>51</v>
      </c>
      <c r="B70" s="165">
        <v>177000</v>
      </c>
      <c r="C70" s="166">
        <v>179000</v>
      </c>
      <c r="D70" s="166">
        <v>3980</v>
      </c>
      <c r="E70" s="166">
        <v>2360</v>
      </c>
      <c r="F70" s="166">
        <v>750</v>
      </c>
      <c r="G70" s="166">
        <v>0</v>
      </c>
      <c r="H70" s="166">
        <v>0</v>
      </c>
      <c r="I70" s="166">
        <v>0</v>
      </c>
      <c r="J70" s="166">
        <v>0</v>
      </c>
      <c r="K70" s="166">
        <v>0</v>
      </c>
      <c r="L70" s="167">
        <v>13200</v>
      </c>
    </row>
    <row r="71" spans="1:12">
      <c r="A71" s="164">
        <v>52</v>
      </c>
      <c r="B71" s="165">
        <v>179000</v>
      </c>
      <c r="C71" s="166">
        <v>181000</v>
      </c>
      <c r="D71" s="166">
        <v>4050</v>
      </c>
      <c r="E71" s="166">
        <v>2430</v>
      </c>
      <c r="F71" s="166">
        <v>820</v>
      </c>
      <c r="G71" s="166">
        <v>0</v>
      </c>
      <c r="H71" s="166">
        <v>0</v>
      </c>
      <c r="I71" s="166">
        <v>0</v>
      </c>
      <c r="J71" s="166">
        <v>0</v>
      </c>
      <c r="K71" s="166">
        <v>0</v>
      </c>
      <c r="L71" s="167">
        <v>13900</v>
      </c>
    </row>
    <row r="72" spans="1:12">
      <c r="A72" s="164">
        <v>53</v>
      </c>
      <c r="B72" s="165">
        <v>181000</v>
      </c>
      <c r="C72" s="166">
        <v>183000</v>
      </c>
      <c r="D72" s="166">
        <v>4120</v>
      </c>
      <c r="E72" s="166">
        <v>2500</v>
      </c>
      <c r="F72" s="166">
        <v>890</v>
      </c>
      <c r="G72" s="166">
        <v>0</v>
      </c>
      <c r="H72" s="166">
        <v>0</v>
      </c>
      <c r="I72" s="166">
        <v>0</v>
      </c>
      <c r="J72" s="166">
        <v>0</v>
      </c>
      <c r="K72" s="166">
        <v>0</v>
      </c>
      <c r="L72" s="167">
        <v>14600</v>
      </c>
    </row>
    <row r="73" spans="1:12">
      <c r="A73" s="164">
        <v>54</v>
      </c>
      <c r="B73" s="165">
        <v>183000</v>
      </c>
      <c r="C73" s="166">
        <v>185000</v>
      </c>
      <c r="D73" s="166">
        <v>4200</v>
      </c>
      <c r="E73" s="166">
        <v>2570</v>
      </c>
      <c r="F73" s="166">
        <v>960</v>
      </c>
      <c r="G73" s="166">
        <v>0</v>
      </c>
      <c r="H73" s="166">
        <v>0</v>
      </c>
      <c r="I73" s="166">
        <v>0</v>
      </c>
      <c r="J73" s="166">
        <v>0</v>
      </c>
      <c r="K73" s="166">
        <v>0</v>
      </c>
      <c r="L73" s="167">
        <v>15300</v>
      </c>
    </row>
    <row r="74" spans="1:12">
      <c r="A74" s="164">
        <v>55</v>
      </c>
      <c r="B74" s="165">
        <v>185000</v>
      </c>
      <c r="C74" s="166">
        <v>187000</v>
      </c>
      <c r="D74" s="166">
        <v>4270</v>
      </c>
      <c r="E74" s="166">
        <v>2640</v>
      </c>
      <c r="F74" s="166">
        <v>1030</v>
      </c>
      <c r="G74" s="166">
        <v>0</v>
      </c>
      <c r="H74" s="166">
        <v>0</v>
      </c>
      <c r="I74" s="166">
        <v>0</v>
      </c>
      <c r="J74" s="166">
        <v>0</v>
      </c>
      <c r="K74" s="166">
        <v>0</v>
      </c>
      <c r="L74" s="167">
        <v>16000</v>
      </c>
    </row>
    <row r="75" spans="1:12">
      <c r="A75" s="164"/>
      <c r="B75" s="165"/>
      <c r="C75" s="166"/>
      <c r="D75" s="166"/>
      <c r="E75" s="166"/>
      <c r="F75" s="166"/>
      <c r="G75" s="166"/>
      <c r="H75" s="166"/>
      <c r="I75" s="166"/>
      <c r="J75" s="166"/>
      <c r="K75" s="166"/>
      <c r="L75" s="167"/>
    </row>
    <row r="76" spans="1:12">
      <c r="A76" s="164">
        <v>56</v>
      </c>
      <c r="B76" s="165">
        <v>187000</v>
      </c>
      <c r="C76" s="166">
        <v>189000</v>
      </c>
      <c r="D76" s="166">
        <v>4340</v>
      </c>
      <c r="E76" s="166">
        <v>2720</v>
      </c>
      <c r="F76" s="166">
        <v>1100</v>
      </c>
      <c r="G76" s="166">
        <v>0</v>
      </c>
      <c r="H76" s="166">
        <v>0</v>
      </c>
      <c r="I76" s="166">
        <v>0</v>
      </c>
      <c r="J76" s="166">
        <v>0</v>
      </c>
      <c r="K76" s="166">
        <v>0</v>
      </c>
      <c r="L76" s="167">
        <v>16700</v>
      </c>
    </row>
    <row r="77" spans="1:12">
      <c r="A77" s="164">
        <v>57</v>
      </c>
      <c r="B77" s="165">
        <v>189000</v>
      </c>
      <c r="C77" s="166">
        <v>191000</v>
      </c>
      <c r="D77" s="166">
        <v>4410</v>
      </c>
      <c r="E77" s="166">
        <v>2790</v>
      </c>
      <c r="F77" s="166">
        <v>1170</v>
      </c>
      <c r="G77" s="166">
        <v>0</v>
      </c>
      <c r="H77" s="166">
        <v>0</v>
      </c>
      <c r="I77" s="166">
        <v>0</v>
      </c>
      <c r="J77" s="166">
        <v>0</v>
      </c>
      <c r="K77" s="166">
        <v>0</v>
      </c>
      <c r="L77" s="167">
        <v>17500</v>
      </c>
    </row>
    <row r="78" spans="1:12">
      <c r="A78" s="164">
        <v>58</v>
      </c>
      <c r="B78" s="165">
        <v>191000</v>
      </c>
      <c r="C78" s="166">
        <v>193000</v>
      </c>
      <c r="D78" s="166">
        <v>4480</v>
      </c>
      <c r="E78" s="166">
        <v>2860</v>
      </c>
      <c r="F78" s="166">
        <v>1250</v>
      </c>
      <c r="G78" s="166">
        <v>0</v>
      </c>
      <c r="H78" s="166">
        <v>0</v>
      </c>
      <c r="I78" s="166">
        <v>0</v>
      </c>
      <c r="J78" s="166">
        <v>0</v>
      </c>
      <c r="K78" s="166">
        <v>0</v>
      </c>
      <c r="L78" s="167">
        <v>18100</v>
      </c>
    </row>
    <row r="79" spans="1:12">
      <c r="A79" s="164">
        <v>59</v>
      </c>
      <c r="B79" s="165">
        <v>193000</v>
      </c>
      <c r="C79" s="166">
        <v>195000</v>
      </c>
      <c r="D79" s="166">
        <v>4550</v>
      </c>
      <c r="E79" s="166">
        <v>2930</v>
      </c>
      <c r="F79" s="166">
        <v>1320</v>
      </c>
      <c r="G79" s="166">
        <v>0</v>
      </c>
      <c r="H79" s="166">
        <v>0</v>
      </c>
      <c r="I79" s="166">
        <v>0</v>
      </c>
      <c r="J79" s="166">
        <v>0</v>
      </c>
      <c r="K79" s="166">
        <v>0</v>
      </c>
      <c r="L79" s="167">
        <v>18800</v>
      </c>
    </row>
    <row r="80" spans="1:12">
      <c r="A80" s="164">
        <v>60</v>
      </c>
      <c r="B80" s="165">
        <v>195000</v>
      </c>
      <c r="C80" s="166">
        <v>197000</v>
      </c>
      <c r="D80" s="166">
        <v>4630</v>
      </c>
      <c r="E80" s="166">
        <v>3000</v>
      </c>
      <c r="F80" s="166">
        <v>1390</v>
      </c>
      <c r="G80" s="166">
        <v>0</v>
      </c>
      <c r="H80" s="166">
        <v>0</v>
      </c>
      <c r="I80" s="166">
        <v>0</v>
      </c>
      <c r="J80" s="166">
        <v>0</v>
      </c>
      <c r="K80" s="166">
        <v>0</v>
      </c>
      <c r="L80" s="167">
        <v>19500</v>
      </c>
    </row>
    <row r="81" spans="1:12">
      <c r="A81" s="164"/>
      <c r="B81" s="165"/>
      <c r="C81" s="166"/>
      <c r="D81" s="166"/>
      <c r="E81" s="166"/>
      <c r="F81" s="166"/>
      <c r="G81" s="166"/>
      <c r="H81" s="166"/>
      <c r="I81" s="166"/>
      <c r="J81" s="166"/>
      <c r="K81" s="166"/>
      <c r="L81" s="167"/>
    </row>
    <row r="82" spans="1:12">
      <c r="A82" s="164">
        <v>61</v>
      </c>
      <c r="B82" s="165">
        <v>197000</v>
      </c>
      <c r="C82" s="166">
        <v>199000</v>
      </c>
      <c r="D82" s="166">
        <v>4700</v>
      </c>
      <c r="E82" s="166">
        <v>3070</v>
      </c>
      <c r="F82" s="166">
        <v>1460</v>
      </c>
      <c r="G82" s="166">
        <v>0</v>
      </c>
      <c r="H82" s="166">
        <v>0</v>
      </c>
      <c r="I82" s="166">
        <v>0</v>
      </c>
      <c r="J82" s="166">
        <v>0</v>
      </c>
      <c r="K82" s="166">
        <v>0</v>
      </c>
      <c r="L82" s="167">
        <v>20200</v>
      </c>
    </row>
    <row r="83" spans="1:12">
      <c r="A83" s="164">
        <v>62</v>
      </c>
      <c r="B83" s="165">
        <v>199000</v>
      </c>
      <c r="C83" s="166">
        <v>201000</v>
      </c>
      <c r="D83" s="166">
        <v>4770</v>
      </c>
      <c r="E83" s="166">
        <v>3140</v>
      </c>
      <c r="F83" s="166">
        <v>1530</v>
      </c>
      <c r="G83" s="166">
        <v>0</v>
      </c>
      <c r="H83" s="166">
        <v>0</v>
      </c>
      <c r="I83" s="166">
        <v>0</v>
      </c>
      <c r="J83" s="166">
        <v>0</v>
      </c>
      <c r="K83" s="166">
        <v>0</v>
      </c>
      <c r="L83" s="167">
        <v>20900</v>
      </c>
    </row>
    <row r="84" spans="1:12">
      <c r="A84" s="164">
        <v>63</v>
      </c>
      <c r="B84" s="165">
        <v>201000</v>
      </c>
      <c r="C84" s="166">
        <v>203000</v>
      </c>
      <c r="D84" s="166">
        <v>4840</v>
      </c>
      <c r="E84" s="166">
        <v>3220</v>
      </c>
      <c r="F84" s="166">
        <v>1600</v>
      </c>
      <c r="G84" s="166">
        <v>0</v>
      </c>
      <c r="H84" s="166">
        <v>0</v>
      </c>
      <c r="I84" s="166">
        <v>0</v>
      </c>
      <c r="J84" s="166">
        <v>0</v>
      </c>
      <c r="K84" s="166">
        <v>0</v>
      </c>
      <c r="L84" s="167">
        <v>21500</v>
      </c>
    </row>
    <row r="85" spans="1:12">
      <c r="A85" s="164">
        <v>64</v>
      </c>
      <c r="B85" s="165">
        <v>203000</v>
      </c>
      <c r="C85" s="166">
        <v>205000</v>
      </c>
      <c r="D85" s="166">
        <v>4910</v>
      </c>
      <c r="E85" s="166">
        <v>3290</v>
      </c>
      <c r="F85" s="166">
        <v>1670</v>
      </c>
      <c r="G85" s="166">
        <v>0</v>
      </c>
      <c r="H85" s="166">
        <v>0</v>
      </c>
      <c r="I85" s="166">
        <v>0</v>
      </c>
      <c r="J85" s="166">
        <v>0</v>
      </c>
      <c r="K85" s="166">
        <v>0</v>
      </c>
      <c r="L85" s="167">
        <v>22200</v>
      </c>
    </row>
    <row r="86" spans="1:12">
      <c r="A86" s="164">
        <v>65</v>
      </c>
      <c r="B86" s="165">
        <v>205000</v>
      </c>
      <c r="C86" s="166">
        <v>207000</v>
      </c>
      <c r="D86" s="166">
        <v>4980</v>
      </c>
      <c r="E86" s="166">
        <v>3360</v>
      </c>
      <c r="F86" s="166">
        <v>1750</v>
      </c>
      <c r="G86" s="166">
        <v>130</v>
      </c>
      <c r="H86" s="166">
        <v>0</v>
      </c>
      <c r="I86" s="166">
        <v>0</v>
      </c>
      <c r="J86" s="166">
        <v>0</v>
      </c>
      <c r="K86" s="166">
        <v>0</v>
      </c>
      <c r="L86" s="167">
        <v>22700</v>
      </c>
    </row>
    <row r="87" spans="1:12">
      <c r="A87" s="164"/>
      <c r="B87" s="165"/>
      <c r="C87" s="166"/>
      <c r="D87" s="166"/>
      <c r="E87" s="166"/>
      <c r="F87" s="166"/>
      <c r="G87" s="166"/>
      <c r="H87" s="166"/>
      <c r="I87" s="166"/>
      <c r="J87" s="166"/>
      <c r="K87" s="166"/>
      <c r="L87" s="167"/>
    </row>
    <row r="88" spans="1:12">
      <c r="A88" s="164">
        <v>66</v>
      </c>
      <c r="B88" s="165">
        <v>207000</v>
      </c>
      <c r="C88" s="166">
        <v>209000</v>
      </c>
      <c r="D88" s="166">
        <v>5050</v>
      </c>
      <c r="E88" s="166">
        <v>3430</v>
      </c>
      <c r="F88" s="166">
        <v>1820</v>
      </c>
      <c r="G88" s="166">
        <v>200</v>
      </c>
      <c r="H88" s="166">
        <v>0</v>
      </c>
      <c r="I88" s="166">
        <v>0</v>
      </c>
      <c r="J88" s="166">
        <v>0</v>
      </c>
      <c r="K88" s="166">
        <v>0</v>
      </c>
      <c r="L88" s="167">
        <v>23300</v>
      </c>
    </row>
    <row r="89" spans="1:12">
      <c r="A89" s="164">
        <v>67</v>
      </c>
      <c r="B89" s="165">
        <v>209000</v>
      </c>
      <c r="C89" s="166">
        <v>211000</v>
      </c>
      <c r="D89" s="166">
        <v>5130</v>
      </c>
      <c r="E89" s="166">
        <v>3500</v>
      </c>
      <c r="F89" s="166">
        <v>1890</v>
      </c>
      <c r="G89" s="166">
        <v>280</v>
      </c>
      <c r="H89" s="166">
        <v>0</v>
      </c>
      <c r="I89" s="166">
        <v>0</v>
      </c>
      <c r="J89" s="166">
        <v>0</v>
      </c>
      <c r="K89" s="166">
        <v>0</v>
      </c>
      <c r="L89" s="167">
        <v>23900</v>
      </c>
    </row>
    <row r="90" spans="1:12">
      <c r="A90" s="164">
        <v>68</v>
      </c>
      <c r="B90" s="165">
        <v>211000</v>
      </c>
      <c r="C90" s="166">
        <v>213000</v>
      </c>
      <c r="D90" s="166">
        <v>5200</v>
      </c>
      <c r="E90" s="166">
        <v>3570</v>
      </c>
      <c r="F90" s="166">
        <v>1960</v>
      </c>
      <c r="G90" s="166">
        <v>350</v>
      </c>
      <c r="H90" s="166">
        <v>0</v>
      </c>
      <c r="I90" s="166">
        <v>0</v>
      </c>
      <c r="J90" s="166">
        <v>0</v>
      </c>
      <c r="K90" s="166">
        <v>0</v>
      </c>
      <c r="L90" s="167">
        <v>24400</v>
      </c>
    </row>
    <row r="91" spans="1:12">
      <c r="A91" s="164">
        <v>69</v>
      </c>
      <c r="B91" s="165">
        <v>213000</v>
      </c>
      <c r="C91" s="166">
        <v>215000</v>
      </c>
      <c r="D91" s="166">
        <v>5270</v>
      </c>
      <c r="E91" s="166">
        <v>3640</v>
      </c>
      <c r="F91" s="166">
        <v>2030</v>
      </c>
      <c r="G91" s="166">
        <v>420</v>
      </c>
      <c r="H91" s="166">
        <v>0</v>
      </c>
      <c r="I91" s="166">
        <v>0</v>
      </c>
      <c r="J91" s="166">
        <v>0</v>
      </c>
      <c r="K91" s="166">
        <v>0</v>
      </c>
      <c r="L91" s="167">
        <v>25000</v>
      </c>
    </row>
    <row r="92" spans="1:12">
      <c r="A92" s="164">
        <v>70</v>
      </c>
      <c r="B92" s="165">
        <v>215000</v>
      </c>
      <c r="C92" s="166">
        <v>217000</v>
      </c>
      <c r="D92" s="166">
        <v>5340</v>
      </c>
      <c r="E92" s="166">
        <v>3720</v>
      </c>
      <c r="F92" s="166">
        <v>2100</v>
      </c>
      <c r="G92" s="166">
        <v>490</v>
      </c>
      <c r="H92" s="166">
        <v>0</v>
      </c>
      <c r="I92" s="166">
        <v>0</v>
      </c>
      <c r="J92" s="166">
        <v>0</v>
      </c>
      <c r="K92" s="166">
        <v>0</v>
      </c>
      <c r="L92" s="167">
        <v>25500</v>
      </c>
    </row>
    <row r="93" spans="1:12">
      <c r="A93" s="164"/>
      <c r="B93" s="165"/>
      <c r="C93" s="166"/>
      <c r="D93" s="166"/>
      <c r="E93" s="166"/>
      <c r="F93" s="166"/>
      <c r="G93" s="166"/>
      <c r="H93" s="166"/>
      <c r="I93" s="166"/>
      <c r="J93" s="166"/>
      <c r="K93" s="166"/>
      <c r="L93" s="167"/>
    </row>
    <row r="94" spans="1:12">
      <c r="A94" s="164">
        <v>71</v>
      </c>
      <c r="B94" s="165">
        <v>217000</v>
      </c>
      <c r="C94" s="166">
        <v>219000</v>
      </c>
      <c r="D94" s="166">
        <v>5410</v>
      </c>
      <c r="E94" s="166">
        <v>3790</v>
      </c>
      <c r="F94" s="166">
        <v>2170</v>
      </c>
      <c r="G94" s="166">
        <v>560</v>
      </c>
      <c r="H94" s="166">
        <v>0</v>
      </c>
      <c r="I94" s="166">
        <v>0</v>
      </c>
      <c r="J94" s="166">
        <v>0</v>
      </c>
      <c r="K94" s="166">
        <v>0</v>
      </c>
      <c r="L94" s="167">
        <v>26100</v>
      </c>
    </row>
    <row r="95" spans="1:12">
      <c r="A95" s="164">
        <v>72</v>
      </c>
      <c r="B95" s="165">
        <v>219000</v>
      </c>
      <c r="C95" s="166">
        <v>221000</v>
      </c>
      <c r="D95" s="166">
        <v>5480</v>
      </c>
      <c r="E95" s="166">
        <v>3860</v>
      </c>
      <c r="F95" s="166">
        <v>2250</v>
      </c>
      <c r="G95" s="166">
        <v>630</v>
      </c>
      <c r="H95" s="166">
        <v>0</v>
      </c>
      <c r="I95" s="166">
        <v>0</v>
      </c>
      <c r="J95" s="166">
        <v>0</v>
      </c>
      <c r="K95" s="166">
        <v>0</v>
      </c>
      <c r="L95" s="167">
        <v>26800</v>
      </c>
    </row>
    <row r="96" spans="1:12">
      <c r="A96" s="164">
        <v>73</v>
      </c>
      <c r="B96" s="165">
        <v>221000</v>
      </c>
      <c r="C96" s="166">
        <v>224000</v>
      </c>
      <c r="D96" s="166">
        <v>5560</v>
      </c>
      <c r="E96" s="166">
        <v>3950</v>
      </c>
      <c r="F96" s="166">
        <v>2340</v>
      </c>
      <c r="G96" s="166">
        <v>710</v>
      </c>
      <c r="H96" s="166">
        <v>0</v>
      </c>
      <c r="I96" s="166">
        <v>0</v>
      </c>
      <c r="J96" s="166">
        <v>0</v>
      </c>
      <c r="K96" s="166">
        <v>0</v>
      </c>
      <c r="L96" s="167">
        <v>27400</v>
      </c>
    </row>
    <row r="97" spans="1:12">
      <c r="A97" s="164">
        <v>74</v>
      </c>
      <c r="B97" s="165">
        <v>224000</v>
      </c>
      <c r="C97" s="166">
        <v>227000</v>
      </c>
      <c r="D97" s="166">
        <v>5680</v>
      </c>
      <c r="E97" s="166">
        <v>4060</v>
      </c>
      <c r="F97" s="166">
        <v>2440</v>
      </c>
      <c r="G97" s="166">
        <v>830</v>
      </c>
      <c r="H97" s="166">
        <v>0</v>
      </c>
      <c r="I97" s="166">
        <v>0</v>
      </c>
      <c r="J97" s="166">
        <v>0</v>
      </c>
      <c r="K97" s="166">
        <v>0</v>
      </c>
      <c r="L97" s="167">
        <v>28400</v>
      </c>
    </row>
    <row r="98" spans="1:12">
      <c r="A98" s="164">
        <v>75</v>
      </c>
      <c r="B98" s="165">
        <v>227000</v>
      </c>
      <c r="C98" s="166">
        <v>230000</v>
      </c>
      <c r="D98" s="166">
        <v>5780</v>
      </c>
      <c r="E98" s="166">
        <v>4170</v>
      </c>
      <c r="F98" s="166">
        <v>2550</v>
      </c>
      <c r="G98" s="166">
        <v>930</v>
      </c>
      <c r="H98" s="166">
        <v>0</v>
      </c>
      <c r="I98" s="166">
        <v>0</v>
      </c>
      <c r="J98" s="166">
        <v>0</v>
      </c>
      <c r="K98" s="166">
        <v>0</v>
      </c>
      <c r="L98" s="167">
        <v>29300</v>
      </c>
    </row>
    <row r="99" spans="1:12">
      <c r="A99" s="164"/>
      <c r="B99" s="165"/>
      <c r="C99" s="166"/>
      <c r="D99" s="166"/>
      <c r="E99" s="166"/>
      <c r="F99" s="166"/>
      <c r="G99" s="166"/>
      <c r="H99" s="166"/>
      <c r="I99" s="166"/>
      <c r="J99" s="166"/>
      <c r="K99" s="166"/>
      <c r="L99" s="167"/>
    </row>
    <row r="100" spans="1:12">
      <c r="A100" s="164">
        <v>76</v>
      </c>
      <c r="B100" s="165">
        <v>230000</v>
      </c>
      <c r="C100" s="166">
        <v>233000</v>
      </c>
      <c r="D100" s="166">
        <v>5890</v>
      </c>
      <c r="E100" s="166">
        <v>4280</v>
      </c>
      <c r="F100" s="166">
        <v>2650</v>
      </c>
      <c r="G100" s="166">
        <v>1040</v>
      </c>
      <c r="H100" s="166">
        <v>0</v>
      </c>
      <c r="I100" s="166">
        <v>0</v>
      </c>
      <c r="J100" s="166">
        <v>0</v>
      </c>
      <c r="K100" s="166">
        <v>0</v>
      </c>
      <c r="L100" s="167">
        <v>30300</v>
      </c>
    </row>
    <row r="101" spans="1:12">
      <c r="A101" s="164">
        <v>77</v>
      </c>
      <c r="B101" s="165">
        <v>233000</v>
      </c>
      <c r="C101" s="166">
        <v>236000</v>
      </c>
      <c r="D101" s="166">
        <v>5990</v>
      </c>
      <c r="E101" s="166">
        <v>4380</v>
      </c>
      <c r="F101" s="166">
        <v>2770</v>
      </c>
      <c r="G101" s="166">
        <v>1140</v>
      </c>
      <c r="H101" s="166">
        <v>0</v>
      </c>
      <c r="I101" s="166">
        <v>0</v>
      </c>
      <c r="J101" s="166">
        <v>0</v>
      </c>
      <c r="K101" s="166">
        <v>0</v>
      </c>
      <c r="L101" s="167">
        <v>31300</v>
      </c>
    </row>
    <row r="102" spans="1:12">
      <c r="A102" s="164">
        <v>78</v>
      </c>
      <c r="B102" s="165">
        <v>236000</v>
      </c>
      <c r="C102" s="166">
        <v>239000</v>
      </c>
      <c r="D102" s="166">
        <v>6110</v>
      </c>
      <c r="E102" s="166">
        <v>4490</v>
      </c>
      <c r="F102" s="166">
        <v>2870</v>
      </c>
      <c r="G102" s="166">
        <v>1260</v>
      </c>
      <c r="H102" s="166">
        <v>0</v>
      </c>
      <c r="I102" s="166">
        <v>0</v>
      </c>
      <c r="J102" s="166">
        <v>0</v>
      </c>
      <c r="K102" s="166">
        <v>0</v>
      </c>
      <c r="L102" s="167">
        <v>32400</v>
      </c>
    </row>
    <row r="103" spans="1:12">
      <c r="A103" s="164">
        <v>79</v>
      </c>
      <c r="B103" s="165">
        <v>239000</v>
      </c>
      <c r="C103" s="166">
        <v>242000</v>
      </c>
      <c r="D103" s="166">
        <v>6210</v>
      </c>
      <c r="E103" s="166">
        <v>4590</v>
      </c>
      <c r="F103" s="166">
        <v>2980</v>
      </c>
      <c r="G103" s="166">
        <v>1360</v>
      </c>
      <c r="H103" s="166">
        <v>0</v>
      </c>
      <c r="I103" s="166">
        <v>0</v>
      </c>
      <c r="J103" s="166">
        <v>0</v>
      </c>
      <c r="K103" s="166">
        <v>0</v>
      </c>
      <c r="L103" s="167">
        <v>33400</v>
      </c>
    </row>
    <row r="104" spans="1:12">
      <c r="A104" s="164">
        <v>80</v>
      </c>
      <c r="B104" s="165">
        <v>242000</v>
      </c>
      <c r="C104" s="166">
        <v>245000</v>
      </c>
      <c r="D104" s="166">
        <v>6320</v>
      </c>
      <c r="E104" s="166">
        <v>4710</v>
      </c>
      <c r="F104" s="166">
        <v>3080</v>
      </c>
      <c r="G104" s="166">
        <v>1470</v>
      </c>
      <c r="H104" s="166">
        <v>0</v>
      </c>
      <c r="I104" s="166">
        <v>0</v>
      </c>
      <c r="J104" s="166">
        <v>0</v>
      </c>
      <c r="K104" s="166">
        <v>0</v>
      </c>
      <c r="L104" s="167">
        <v>34400</v>
      </c>
    </row>
    <row r="105" spans="1:12">
      <c r="A105" s="164"/>
      <c r="B105" s="165"/>
      <c r="C105" s="166"/>
      <c r="D105" s="166"/>
      <c r="E105" s="166"/>
      <c r="F105" s="166"/>
      <c r="G105" s="166"/>
      <c r="H105" s="166"/>
      <c r="I105" s="166"/>
      <c r="J105" s="166"/>
      <c r="K105" s="166"/>
      <c r="L105" s="167"/>
    </row>
    <row r="106" spans="1:12">
      <c r="A106" s="164">
        <v>81</v>
      </c>
      <c r="B106" s="165">
        <v>245000</v>
      </c>
      <c r="C106" s="166">
        <v>248000</v>
      </c>
      <c r="D106" s="166">
        <v>6420</v>
      </c>
      <c r="E106" s="166">
        <v>4810</v>
      </c>
      <c r="F106" s="166">
        <v>3200</v>
      </c>
      <c r="G106" s="166">
        <v>1570</v>
      </c>
      <c r="H106" s="166">
        <v>0</v>
      </c>
      <c r="I106" s="166">
        <v>0</v>
      </c>
      <c r="J106" s="166">
        <v>0</v>
      </c>
      <c r="K106" s="166">
        <v>0</v>
      </c>
      <c r="L106" s="167">
        <v>35400</v>
      </c>
    </row>
    <row r="107" spans="1:12">
      <c r="A107" s="164">
        <v>82</v>
      </c>
      <c r="B107" s="165">
        <v>248000</v>
      </c>
      <c r="C107" s="166">
        <v>251000</v>
      </c>
      <c r="D107" s="166">
        <v>6530</v>
      </c>
      <c r="E107" s="166">
        <v>4920</v>
      </c>
      <c r="F107" s="166">
        <v>3300</v>
      </c>
      <c r="G107" s="166">
        <v>1680</v>
      </c>
      <c r="H107" s="166">
        <v>0</v>
      </c>
      <c r="I107" s="166">
        <v>0</v>
      </c>
      <c r="J107" s="166">
        <v>0</v>
      </c>
      <c r="K107" s="166">
        <v>0</v>
      </c>
      <c r="L107" s="167">
        <v>36400</v>
      </c>
    </row>
    <row r="108" spans="1:12">
      <c r="A108" s="164">
        <v>83</v>
      </c>
      <c r="B108" s="165">
        <v>251000</v>
      </c>
      <c r="C108" s="166">
        <v>254000</v>
      </c>
      <c r="D108" s="166">
        <v>6640</v>
      </c>
      <c r="E108" s="166">
        <v>5020</v>
      </c>
      <c r="F108" s="166">
        <v>3410</v>
      </c>
      <c r="G108" s="166">
        <v>1790</v>
      </c>
      <c r="H108" s="166">
        <v>170</v>
      </c>
      <c r="I108" s="166">
        <v>0</v>
      </c>
      <c r="J108" s="166">
        <v>0</v>
      </c>
      <c r="K108" s="166">
        <v>0</v>
      </c>
      <c r="L108" s="167">
        <v>37500</v>
      </c>
    </row>
    <row r="109" spans="1:12">
      <c r="A109" s="164">
        <v>84</v>
      </c>
      <c r="B109" s="165">
        <v>254000</v>
      </c>
      <c r="C109" s="166">
        <v>257000</v>
      </c>
      <c r="D109" s="166">
        <v>6750</v>
      </c>
      <c r="E109" s="166">
        <v>5140</v>
      </c>
      <c r="F109" s="166">
        <v>3510</v>
      </c>
      <c r="G109" s="166">
        <v>1900</v>
      </c>
      <c r="H109" s="166">
        <v>290</v>
      </c>
      <c r="I109" s="166">
        <v>0</v>
      </c>
      <c r="J109" s="166">
        <v>0</v>
      </c>
      <c r="K109" s="166">
        <v>0</v>
      </c>
      <c r="L109" s="167">
        <v>38500</v>
      </c>
    </row>
    <row r="110" spans="1:12">
      <c r="A110" s="164">
        <v>85</v>
      </c>
      <c r="B110" s="165">
        <v>257000</v>
      </c>
      <c r="C110" s="166">
        <v>260000</v>
      </c>
      <c r="D110" s="166">
        <v>6850</v>
      </c>
      <c r="E110" s="166">
        <v>5240</v>
      </c>
      <c r="F110" s="166">
        <v>3620</v>
      </c>
      <c r="G110" s="166">
        <v>2000</v>
      </c>
      <c r="H110" s="166">
        <v>390</v>
      </c>
      <c r="I110" s="166">
        <v>0</v>
      </c>
      <c r="J110" s="166">
        <v>0</v>
      </c>
      <c r="K110" s="166">
        <v>0</v>
      </c>
      <c r="L110" s="167">
        <v>39400</v>
      </c>
    </row>
    <row r="111" spans="1:12">
      <c r="A111" s="164"/>
      <c r="B111" s="165"/>
      <c r="C111" s="166"/>
      <c r="D111" s="166"/>
      <c r="E111" s="166"/>
      <c r="F111" s="166"/>
      <c r="G111" s="166"/>
      <c r="H111" s="166"/>
      <c r="I111" s="166"/>
      <c r="J111" s="166"/>
      <c r="K111" s="166"/>
      <c r="L111" s="167"/>
    </row>
    <row r="112" spans="1:12">
      <c r="A112" s="164">
        <v>86</v>
      </c>
      <c r="B112" s="165">
        <v>260000</v>
      </c>
      <c r="C112" s="166">
        <v>263000</v>
      </c>
      <c r="D112" s="166">
        <v>6960</v>
      </c>
      <c r="E112" s="166">
        <v>5350</v>
      </c>
      <c r="F112" s="166">
        <v>3730</v>
      </c>
      <c r="G112" s="166">
        <v>2110</v>
      </c>
      <c r="H112" s="166">
        <v>500</v>
      </c>
      <c r="I112" s="166">
        <v>0</v>
      </c>
      <c r="J112" s="166">
        <v>0</v>
      </c>
      <c r="K112" s="166">
        <v>0</v>
      </c>
      <c r="L112" s="167">
        <v>40400</v>
      </c>
    </row>
    <row r="113" spans="1:12">
      <c r="A113" s="164">
        <v>87</v>
      </c>
      <c r="B113" s="165">
        <v>263000</v>
      </c>
      <c r="C113" s="166">
        <v>266000</v>
      </c>
      <c r="D113" s="166">
        <v>7070</v>
      </c>
      <c r="E113" s="166">
        <v>5450</v>
      </c>
      <c r="F113" s="166">
        <v>3840</v>
      </c>
      <c r="G113" s="166">
        <v>2220</v>
      </c>
      <c r="H113" s="166">
        <v>600</v>
      </c>
      <c r="I113" s="166">
        <v>0</v>
      </c>
      <c r="J113" s="166">
        <v>0</v>
      </c>
      <c r="K113" s="166">
        <v>0</v>
      </c>
      <c r="L113" s="167">
        <v>41500</v>
      </c>
    </row>
    <row r="114" spans="1:12">
      <c r="A114" s="164">
        <v>88</v>
      </c>
      <c r="B114" s="165">
        <v>266000</v>
      </c>
      <c r="C114" s="166">
        <v>269000</v>
      </c>
      <c r="D114" s="166">
        <v>7180</v>
      </c>
      <c r="E114" s="166">
        <v>5560</v>
      </c>
      <c r="F114" s="166">
        <v>3940</v>
      </c>
      <c r="G114" s="166">
        <v>2330</v>
      </c>
      <c r="H114" s="166">
        <v>710</v>
      </c>
      <c r="I114" s="166">
        <v>0</v>
      </c>
      <c r="J114" s="166">
        <v>0</v>
      </c>
      <c r="K114" s="166">
        <v>0</v>
      </c>
      <c r="L114" s="167">
        <v>42500</v>
      </c>
    </row>
    <row r="115" spans="1:12">
      <c r="A115" s="164">
        <v>89</v>
      </c>
      <c r="B115" s="165">
        <v>269000</v>
      </c>
      <c r="C115" s="166">
        <v>272000</v>
      </c>
      <c r="D115" s="166">
        <v>7280</v>
      </c>
      <c r="E115" s="166">
        <v>5670</v>
      </c>
      <c r="F115" s="166">
        <v>4050</v>
      </c>
      <c r="G115" s="166">
        <v>2430</v>
      </c>
      <c r="H115" s="166">
        <v>820</v>
      </c>
      <c r="I115" s="166">
        <v>0</v>
      </c>
      <c r="J115" s="166">
        <v>0</v>
      </c>
      <c r="K115" s="166">
        <v>0</v>
      </c>
      <c r="L115" s="167">
        <v>43500</v>
      </c>
    </row>
    <row r="116" spans="1:12">
      <c r="A116" s="164">
        <v>90</v>
      </c>
      <c r="B116" s="165">
        <v>272000</v>
      </c>
      <c r="C116" s="166">
        <v>275000</v>
      </c>
      <c r="D116" s="166">
        <v>7390</v>
      </c>
      <c r="E116" s="166">
        <v>5780</v>
      </c>
      <c r="F116" s="166">
        <v>4160</v>
      </c>
      <c r="G116" s="166">
        <v>2540</v>
      </c>
      <c r="H116" s="166">
        <v>930</v>
      </c>
      <c r="I116" s="166">
        <v>0</v>
      </c>
      <c r="J116" s="166">
        <v>0</v>
      </c>
      <c r="K116" s="166">
        <v>0</v>
      </c>
      <c r="L116" s="167">
        <v>44500</v>
      </c>
    </row>
    <row r="117" spans="1:12">
      <c r="A117" s="164"/>
      <c r="B117" s="165"/>
      <c r="C117" s="166"/>
      <c r="D117" s="166"/>
      <c r="E117" s="166"/>
      <c r="F117" s="166"/>
      <c r="G117" s="166"/>
      <c r="H117" s="166"/>
      <c r="I117" s="166"/>
      <c r="J117" s="166"/>
      <c r="K117" s="166"/>
      <c r="L117" s="167"/>
    </row>
    <row r="118" spans="1:12">
      <c r="A118" s="164">
        <v>91</v>
      </c>
      <c r="B118" s="165">
        <v>275000</v>
      </c>
      <c r="C118" s="166">
        <v>278000</v>
      </c>
      <c r="D118" s="166">
        <v>7490</v>
      </c>
      <c r="E118" s="166">
        <v>5880</v>
      </c>
      <c r="F118" s="166">
        <v>4270</v>
      </c>
      <c r="G118" s="166">
        <v>2640</v>
      </c>
      <c r="H118" s="166">
        <v>1030</v>
      </c>
      <c r="I118" s="166">
        <v>0</v>
      </c>
      <c r="J118" s="166">
        <v>0</v>
      </c>
      <c r="K118" s="166">
        <v>0</v>
      </c>
      <c r="L118" s="167">
        <v>45500</v>
      </c>
    </row>
    <row r="119" spans="1:12">
      <c r="A119" s="164">
        <v>92</v>
      </c>
      <c r="B119" s="165">
        <v>278000</v>
      </c>
      <c r="C119" s="166">
        <v>281000</v>
      </c>
      <c r="D119" s="166">
        <v>7610</v>
      </c>
      <c r="E119" s="166">
        <v>5990</v>
      </c>
      <c r="F119" s="166">
        <v>4370</v>
      </c>
      <c r="G119" s="166">
        <v>2760</v>
      </c>
      <c r="H119" s="166">
        <v>1140</v>
      </c>
      <c r="I119" s="166">
        <v>0</v>
      </c>
      <c r="J119" s="166">
        <v>0</v>
      </c>
      <c r="K119" s="166">
        <v>0</v>
      </c>
      <c r="L119" s="167">
        <v>46600</v>
      </c>
    </row>
    <row r="120" spans="1:12">
      <c r="A120" s="164">
        <v>93</v>
      </c>
      <c r="B120" s="165">
        <v>281000</v>
      </c>
      <c r="C120" s="166">
        <v>284000</v>
      </c>
      <c r="D120" s="166">
        <v>7710</v>
      </c>
      <c r="E120" s="166">
        <v>6100</v>
      </c>
      <c r="F120" s="166">
        <v>4480</v>
      </c>
      <c r="G120" s="166">
        <v>2860</v>
      </c>
      <c r="H120" s="166">
        <v>1250</v>
      </c>
      <c r="I120" s="166">
        <v>0</v>
      </c>
      <c r="J120" s="166">
        <v>0</v>
      </c>
      <c r="K120" s="166">
        <v>0</v>
      </c>
      <c r="L120" s="167">
        <v>47600</v>
      </c>
    </row>
    <row r="121" spans="1:12">
      <c r="A121" s="164">
        <v>94</v>
      </c>
      <c r="B121" s="165">
        <v>284000</v>
      </c>
      <c r="C121" s="166">
        <v>287000</v>
      </c>
      <c r="D121" s="166">
        <v>7820</v>
      </c>
      <c r="E121" s="166">
        <v>6210</v>
      </c>
      <c r="F121" s="166">
        <v>4580</v>
      </c>
      <c r="G121" s="166">
        <v>2970</v>
      </c>
      <c r="H121" s="166">
        <v>1360</v>
      </c>
      <c r="I121" s="166">
        <v>0</v>
      </c>
      <c r="J121" s="166">
        <v>0</v>
      </c>
      <c r="K121" s="166">
        <v>0</v>
      </c>
      <c r="L121" s="167">
        <v>48600</v>
      </c>
    </row>
    <row r="122" spans="1:12">
      <c r="A122" s="164">
        <v>95</v>
      </c>
      <c r="B122" s="165">
        <v>287000</v>
      </c>
      <c r="C122" s="166">
        <v>290000</v>
      </c>
      <c r="D122" s="166">
        <v>7920</v>
      </c>
      <c r="E122" s="166">
        <v>6310</v>
      </c>
      <c r="F122" s="166">
        <v>4700</v>
      </c>
      <c r="G122" s="166">
        <v>3070</v>
      </c>
      <c r="H122" s="166">
        <v>1460</v>
      </c>
      <c r="I122" s="166">
        <v>0</v>
      </c>
      <c r="J122" s="166">
        <v>0</v>
      </c>
      <c r="K122" s="166">
        <v>0</v>
      </c>
      <c r="L122" s="167">
        <v>49500</v>
      </c>
    </row>
    <row r="123" spans="1:12" ht="14.25" thickBot="1">
      <c r="A123" s="164"/>
      <c r="B123" s="168"/>
      <c r="C123" s="169"/>
      <c r="D123" s="169"/>
      <c r="E123" s="169"/>
      <c r="F123" s="169"/>
      <c r="G123" s="169"/>
      <c r="H123" s="169"/>
      <c r="I123" s="169"/>
      <c r="J123" s="169"/>
      <c r="K123" s="169"/>
      <c r="L123" s="170"/>
    </row>
    <row r="124" spans="1:12">
      <c r="A124" s="164">
        <v>96</v>
      </c>
      <c r="B124" s="165">
        <v>290000</v>
      </c>
      <c r="C124" s="166">
        <v>293000</v>
      </c>
      <c r="D124" s="166">
        <v>8040</v>
      </c>
      <c r="E124" s="166">
        <v>6420</v>
      </c>
      <c r="F124" s="166">
        <v>4800</v>
      </c>
      <c r="G124" s="166">
        <v>3190</v>
      </c>
      <c r="H124" s="166">
        <v>1570</v>
      </c>
      <c r="I124" s="166">
        <v>0</v>
      </c>
      <c r="J124" s="166">
        <v>0</v>
      </c>
      <c r="K124" s="166">
        <v>0</v>
      </c>
      <c r="L124" s="167">
        <v>50500</v>
      </c>
    </row>
    <row r="125" spans="1:12">
      <c r="A125" s="164">
        <v>97</v>
      </c>
      <c r="B125" s="165">
        <v>293000</v>
      </c>
      <c r="C125" s="166">
        <v>296000</v>
      </c>
      <c r="D125" s="166">
        <v>8140</v>
      </c>
      <c r="E125" s="166">
        <v>6520</v>
      </c>
      <c r="F125" s="166">
        <v>4910</v>
      </c>
      <c r="G125" s="166">
        <v>3290</v>
      </c>
      <c r="H125" s="166">
        <v>1670</v>
      </c>
      <c r="I125" s="166">
        <v>0</v>
      </c>
      <c r="J125" s="166">
        <v>0</v>
      </c>
      <c r="K125" s="166">
        <v>0</v>
      </c>
      <c r="L125" s="167">
        <v>51600</v>
      </c>
    </row>
    <row r="126" spans="1:12">
      <c r="A126" s="164">
        <v>98</v>
      </c>
      <c r="B126" s="165">
        <v>296000</v>
      </c>
      <c r="C126" s="166">
        <v>299000</v>
      </c>
      <c r="D126" s="166">
        <v>8250</v>
      </c>
      <c r="E126" s="166">
        <v>6640</v>
      </c>
      <c r="F126" s="166">
        <v>5010</v>
      </c>
      <c r="G126" s="166">
        <v>3400</v>
      </c>
      <c r="H126" s="166">
        <v>1790</v>
      </c>
      <c r="I126" s="166">
        <v>160</v>
      </c>
      <c r="J126" s="166">
        <v>0</v>
      </c>
      <c r="K126" s="166">
        <v>0</v>
      </c>
      <c r="L126" s="167">
        <v>52300</v>
      </c>
    </row>
    <row r="127" spans="1:12">
      <c r="A127" s="164">
        <v>99</v>
      </c>
      <c r="B127" s="165">
        <v>299000</v>
      </c>
      <c r="C127" s="166">
        <v>302000</v>
      </c>
      <c r="D127" s="166">
        <v>8420</v>
      </c>
      <c r="E127" s="166">
        <v>6740</v>
      </c>
      <c r="F127" s="166">
        <v>5130</v>
      </c>
      <c r="G127" s="166">
        <v>3510</v>
      </c>
      <c r="H127" s="166">
        <v>1890</v>
      </c>
      <c r="I127" s="166">
        <v>280</v>
      </c>
      <c r="J127" s="166">
        <v>0</v>
      </c>
      <c r="K127" s="166">
        <v>0</v>
      </c>
      <c r="L127" s="167">
        <v>52900</v>
      </c>
    </row>
    <row r="128" spans="1:12">
      <c r="A128" s="164">
        <v>100</v>
      </c>
      <c r="B128" s="165">
        <v>302000</v>
      </c>
      <c r="C128" s="166">
        <v>305000</v>
      </c>
      <c r="D128" s="166">
        <v>8670</v>
      </c>
      <c r="E128" s="166">
        <v>6860</v>
      </c>
      <c r="F128" s="166">
        <v>5250</v>
      </c>
      <c r="G128" s="166">
        <v>3630</v>
      </c>
      <c r="H128" s="166">
        <v>2010</v>
      </c>
      <c r="I128" s="166">
        <v>400</v>
      </c>
      <c r="J128" s="166">
        <v>0</v>
      </c>
      <c r="K128" s="166">
        <v>0</v>
      </c>
      <c r="L128" s="167">
        <v>53500</v>
      </c>
    </row>
    <row r="129" spans="1:12">
      <c r="A129" s="164"/>
      <c r="B129" s="165"/>
      <c r="C129" s="166"/>
      <c r="D129" s="166"/>
      <c r="E129" s="166"/>
      <c r="F129" s="166"/>
      <c r="G129" s="166"/>
      <c r="H129" s="166"/>
      <c r="I129" s="166"/>
      <c r="J129" s="166"/>
      <c r="K129" s="166"/>
      <c r="L129" s="167"/>
    </row>
    <row r="130" spans="1:12">
      <c r="A130" s="164">
        <v>101</v>
      </c>
      <c r="B130" s="165">
        <v>305000</v>
      </c>
      <c r="C130" s="166">
        <v>308000</v>
      </c>
      <c r="D130" s="166">
        <v>8910</v>
      </c>
      <c r="E130" s="166">
        <v>6980</v>
      </c>
      <c r="F130" s="166">
        <v>5370</v>
      </c>
      <c r="G130" s="166">
        <v>3760</v>
      </c>
      <c r="H130" s="166">
        <v>2130</v>
      </c>
      <c r="I130" s="166">
        <v>520</v>
      </c>
      <c r="J130" s="166">
        <v>0</v>
      </c>
      <c r="K130" s="166">
        <v>0</v>
      </c>
      <c r="L130" s="167">
        <v>54200</v>
      </c>
    </row>
    <row r="131" spans="1:12">
      <c r="A131" s="164">
        <v>102</v>
      </c>
      <c r="B131" s="165">
        <v>308000</v>
      </c>
      <c r="C131" s="166">
        <v>311000</v>
      </c>
      <c r="D131" s="166">
        <v>9160</v>
      </c>
      <c r="E131" s="166">
        <v>7110</v>
      </c>
      <c r="F131" s="166">
        <v>5490</v>
      </c>
      <c r="G131" s="166">
        <v>3880</v>
      </c>
      <c r="H131" s="166">
        <v>2260</v>
      </c>
      <c r="I131" s="166">
        <v>640</v>
      </c>
      <c r="J131" s="166">
        <v>0</v>
      </c>
      <c r="K131" s="166">
        <v>0</v>
      </c>
      <c r="L131" s="167">
        <v>54800</v>
      </c>
    </row>
    <row r="132" spans="1:12">
      <c r="A132" s="164">
        <v>103</v>
      </c>
      <c r="B132" s="165">
        <v>311000</v>
      </c>
      <c r="C132" s="166">
        <v>314000</v>
      </c>
      <c r="D132" s="166">
        <v>9400</v>
      </c>
      <c r="E132" s="166">
        <v>7230</v>
      </c>
      <c r="F132" s="166">
        <v>5620</v>
      </c>
      <c r="G132" s="166">
        <v>4000</v>
      </c>
      <c r="H132" s="166">
        <v>2380</v>
      </c>
      <c r="I132" s="166">
        <v>770</v>
      </c>
      <c r="J132" s="166">
        <v>0</v>
      </c>
      <c r="K132" s="166">
        <v>0</v>
      </c>
      <c r="L132" s="167">
        <v>55400</v>
      </c>
    </row>
    <row r="133" spans="1:12">
      <c r="A133" s="164">
        <v>104</v>
      </c>
      <c r="B133" s="165">
        <v>314000</v>
      </c>
      <c r="C133" s="166">
        <v>317000</v>
      </c>
      <c r="D133" s="166">
        <v>9650</v>
      </c>
      <c r="E133" s="166">
        <v>7350</v>
      </c>
      <c r="F133" s="166">
        <v>5740</v>
      </c>
      <c r="G133" s="166">
        <v>4120</v>
      </c>
      <c r="H133" s="166">
        <v>2500</v>
      </c>
      <c r="I133" s="166">
        <v>890</v>
      </c>
      <c r="J133" s="166">
        <v>0</v>
      </c>
      <c r="K133" s="166">
        <v>0</v>
      </c>
      <c r="L133" s="167">
        <v>56100</v>
      </c>
    </row>
    <row r="134" spans="1:12">
      <c r="A134" s="164">
        <v>105</v>
      </c>
      <c r="B134" s="165">
        <v>317000</v>
      </c>
      <c r="C134" s="166">
        <v>320000</v>
      </c>
      <c r="D134" s="166">
        <v>9890</v>
      </c>
      <c r="E134" s="166">
        <v>7470</v>
      </c>
      <c r="F134" s="166">
        <v>5860</v>
      </c>
      <c r="G134" s="166">
        <v>4250</v>
      </c>
      <c r="H134" s="166">
        <v>2620</v>
      </c>
      <c r="I134" s="166">
        <v>1010</v>
      </c>
      <c r="J134" s="166">
        <v>0</v>
      </c>
      <c r="K134" s="166">
        <v>0</v>
      </c>
      <c r="L134" s="167">
        <v>56800</v>
      </c>
    </row>
    <row r="135" spans="1:12">
      <c r="A135" s="164"/>
      <c r="B135" s="165"/>
      <c r="C135" s="166"/>
      <c r="D135" s="166"/>
      <c r="E135" s="166"/>
      <c r="F135" s="166"/>
      <c r="G135" s="166"/>
      <c r="H135" s="166"/>
      <c r="I135" s="166"/>
      <c r="J135" s="166"/>
      <c r="K135" s="166"/>
      <c r="L135" s="167"/>
    </row>
    <row r="136" spans="1:12">
      <c r="A136" s="164">
        <v>106</v>
      </c>
      <c r="B136" s="165">
        <v>320000</v>
      </c>
      <c r="C136" s="166">
        <v>323000</v>
      </c>
      <c r="D136" s="166">
        <v>10140</v>
      </c>
      <c r="E136" s="166">
        <v>7600</v>
      </c>
      <c r="F136" s="166">
        <v>5980</v>
      </c>
      <c r="G136" s="166">
        <v>4370</v>
      </c>
      <c r="H136" s="166">
        <v>2750</v>
      </c>
      <c r="I136" s="166">
        <v>1130</v>
      </c>
      <c r="J136" s="166">
        <v>0</v>
      </c>
      <c r="K136" s="166">
        <v>0</v>
      </c>
      <c r="L136" s="167">
        <v>57700</v>
      </c>
    </row>
    <row r="137" spans="1:12">
      <c r="A137" s="164">
        <v>107</v>
      </c>
      <c r="B137" s="165">
        <v>323000</v>
      </c>
      <c r="C137" s="166">
        <v>326000</v>
      </c>
      <c r="D137" s="166">
        <v>10380</v>
      </c>
      <c r="E137" s="166">
        <v>7720</v>
      </c>
      <c r="F137" s="166">
        <v>6110</v>
      </c>
      <c r="G137" s="166">
        <v>4490</v>
      </c>
      <c r="H137" s="166">
        <v>2870</v>
      </c>
      <c r="I137" s="166">
        <v>1260</v>
      </c>
      <c r="J137" s="166">
        <v>0</v>
      </c>
      <c r="K137" s="166">
        <v>0</v>
      </c>
      <c r="L137" s="167">
        <v>58500</v>
      </c>
    </row>
    <row r="138" spans="1:12">
      <c r="A138" s="164">
        <v>108</v>
      </c>
      <c r="B138" s="165">
        <v>326000</v>
      </c>
      <c r="C138" s="166">
        <v>329000</v>
      </c>
      <c r="D138" s="166">
        <v>10630</v>
      </c>
      <c r="E138" s="166">
        <v>7840</v>
      </c>
      <c r="F138" s="166">
        <v>6230</v>
      </c>
      <c r="G138" s="166">
        <v>4610</v>
      </c>
      <c r="H138" s="166">
        <v>2990</v>
      </c>
      <c r="I138" s="166">
        <v>1380</v>
      </c>
      <c r="J138" s="166">
        <v>0</v>
      </c>
      <c r="K138" s="166">
        <v>0</v>
      </c>
      <c r="L138" s="167">
        <v>59300</v>
      </c>
    </row>
    <row r="139" spans="1:12">
      <c r="A139" s="164">
        <v>109</v>
      </c>
      <c r="B139" s="165">
        <v>329000</v>
      </c>
      <c r="C139" s="166">
        <v>332000</v>
      </c>
      <c r="D139" s="166">
        <v>10870</v>
      </c>
      <c r="E139" s="166">
        <v>7960</v>
      </c>
      <c r="F139" s="166">
        <v>6350</v>
      </c>
      <c r="G139" s="166">
        <v>4740</v>
      </c>
      <c r="H139" s="166">
        <v>3110</v>
      </c>
      <c r="I139" s="166">
        <v>1500</v>
      </c>
      <c r="J139" s="166">
        <v>0</v>
      </c>
      <c r="K139" s="166">
        <v>0</v>
      </c>
      <c r="L139" s="167">
        <v>60200</v>
      </c>
    </row>
    <row r="140" spans="1:12">
      <c r="A140" s="164">
        <v>110</v>
      </c>
      <c r="B140" s="165">
        <v>332000</v>
      </c>
      <c r="C140" s="166">
        <v>335000</v>
      </c>
      <c r="D140" s="166">
        <v>11120</v>
      </c>
      <c r="E140" s="166">
        <v>8090</v>
      </c>
      <c r="F140" s="166">
        <v>6470</v>
      </c>
      <c r="G140" s="166">
        <v>4860</v>
      </c>
      <c r="H140" s="166">
        <v>3240</v>
      </c>
      <c r="I140" s="166">
        <v>1620</v>
      </c>
      <c r="J140" s="166">
        <v>0</v>
      </c>
      <c r="K140" s="166">
        <v>0</v>
      </c>
      <c r="L140" s="167">
        <v>61100</v>
      </c>
    </row>
    <row r="141" spans="1:12">
      <c r="A141" s="164"/>
      <c r="B141" s="165"/>
      <c r="C141" s="166"/>
      <c r="D141" s="166"/>
      <c r="E141" s="166"/>
      <c r="F141" s="166"/>
      <c r="G141" s="166"/>
      <c r="H141" s="166"/>
      <c r="I141" s="166"/>
      <c r="J141" s="166"/>
      <c r="K141" s="166"/>
      <c r="L141" s="167"/>
    </row>
    <row r="142" spans="1:12">
      <c r="A142" s="164">
        <v>111</v>
      </c>
      <c r="B142" s="165">
        <v>335000</v>
      </c>
      <c r="C142" s="166">
        <v>338000</v>
      </c>
      <c r="D142" s="166">
        <v>11360</v>
      </c>
      <c r="E142" s="166">
        <v>8210</v>
      </c>
      <c r="F142" s="166">
        <v>6600</v>
      </c>
      <c r="G142" s="166">
        <v>4980</v>
      </c>
      <c r="H142" s="166">
        <v>3360</v>
      </c>
      <c r="I142" s="166">
        <v>1750</v>
      </c>
      <c r="J142" s="166">
        <v>130</v>
      </c>
      <c r="K142" s="166">
        <v>0</v>
      </c>
      <c r="L142" s="167">
        <v>62000</v>
      </c>
    </row>
    <row r="143" spans="1:12">
      <c r="A143" s="164">
        <v>112</v>
      </c>
      <c r="B143" s="165">
        <v>338000</v>
      </c>
      <c r="C143" s="166">
        <v>341000</v>
      </c>
      <c r="D143" s="166">
        <v>11610</v>
      </c>
      <c r="E143" s="166">
        <v>8370</v>
      </c>
      <c r="F143" s="166">
        <v>6720</v>
      </c>
      <c r="G143" s="166">
        <v>5110</v>
      </c>
      <c r="H143" s="166">
        <v>3480</v>
      </c>
      <c r="I143" s="166">
        <v>1870</v>
      </c>
      <c r="J143" s="166">
        <v>260</v>
      </c>
      <c r="K143" s="166">
        <v>0</v>
      </c>
      <c r="L143" s="167">
        <v>62900</v>
      </c>
    </row>
    <row r="144" spans="1:12">
      <c r="A144" s="164">
        <v>113</v>
      </c>
      <c r="B144" s="165">
        <v>341000</v>
      </c>
      <c r="C144" s="166">
        <v>344000</v>
      </c>
      <c r="D144" s="166">
        <v>11850</v>
      </c>
      <c r="E144" s="166">
        <v>8620</v>
      </c>
      <c r="F144" s="166">
        <v>6840</v>
      </c>
      <c r="G144" s="166">
        <v>5230</v>
      </c>
      <c r="H144" s="166">
        <v>3600</v>
      </c>
      <c r="I144" s="166">
        <v>1990</v>
      </c>
      <c r="J144" s="166">
        <v>380</v>
      </c>
      <c r="K144" s="166">
        <v>0</v>
      </c>
      <c r="L144" s="167">
        <v>63800</v>
      </c>
    </row>
    <row r="145" spans="1:12">
      <c r="A145" s="164">
        <v>114</v>
      </c>
      <c r="B145" s="165">
        <v>344000</v>
      </c>
      <c r="C145" s="166">
        <v>347000</v>
      </c>
      <c r="D145" s="166">
        <v>12100</v>
      </c>
      <c r="E145" s="166">
        <v>8860</v>
      </c>
      <c r="F145" s="166">
        <v>6960</v>
      </c>
      <c r="G145" s="166">
        <v>5350</v>
      </c>
      <c r="H145" s="166">
        <v>3730</v>
      </c>
      <c r="I145" s="166">
        <v>2110</v>
      </c>
      <c r="J145" s="166">
        <v>500</v>
      </c>
      <c r="K145" s="166">
        <v>0</v>
      </c>
      <c r="L145" s="167">
        <v>64700</v>
      </c>
    </row>
    <row r="146" spans="1:12">
      <c r="A146" s="164">
        <v>115</v>
      </c>
      <c r="B146" s="165">
        <v>347000</v>
      </c>
      <c r="C146" s="166">
        <v>350000</v>
      </c>
      <c r="D146" s="166">
        <v>12340</v>
      </c>
      <c r="E146" s="166">
        <v>9110</v>
      </c>
      <c r="F146" s="166">
        <v>7090</v>
      </c>
      <c r="G146" s="166">
        <v>5470</v>
      </c>
      <c r="H146" s="166">
        <v>3850</v>
      </c>
      <c r="I146" s="166">
        <v>2240</v>
      </c>
      <c r="J146" s="166">
        <v>620</v>
      </c>
      <c r="K146" s="166">
        <v>0</v>
      </c>
      <c r="L146" s="167">
        <v>65800</v>
      </c>
    </row>
    <row r="147" spans="1:12">
      <c r="A147" s="164"/>
      <c r="B147" s="165"/>
      <c r="C147" s="166"/>
      <c r="D147" s="166"/>
      <c r="E147" s="166"/>
      <c r="F147" s="166"/>
      <c r="G147" s="166"/>
      <c r="H147" s="166"/>
      <c r="I147" s="166"/>
      <c r="J147" s="166"/>
      <c r="K147" s="166"/>
      <c r="L147" s="167"/>
    </row>
    <row r="148" spans="1:12">
      <c r="A148" s="164">
        <v>116</v>
      </c>
      <c r="B148" s="165">
        <v>350000</v>
      </c>
      <c r="C148" s="166">
        <v>353000</v>
      </c>
      <c r="D148" s="166">
        <v>12590</v>
      </c>
      <c r="E148" s="166">
        <v>9350</v>
      </c>
      <c r="F148" s="166">
        <v>7210</v>
      </c>
      <c r="G148" s="166">
        <v>5600</v>
      </c>
      <c r="H148" s="166">
        <v>3970</v>
      </c>
      <c r="I148" s="166">
        <v>2360</v>
      </c>
      <c r="J148" s="166">
        <v>750</v>
      </c>
      <c r="K148" s="166">
        <v>0</v>
      </c>
      <c r="L148" s="167">
        <v>66700</v>
      </c>
    </row>
    <row r="149" spans="1:12">
      <c r="A149" s="164">
        <v>117</v>
      </c>
      <c r="B149" s="165">
        <v>353000</v>
      </c>
      <c r="C149" s="166">
        <v>356000</v>
      </c>
      <c r="D149" s="166">
        <v>12830</v>
      </c>
      <c r="E149" s="166">
        <v>9600</v>
      </c>
      <c r="F149" s="166">
        <v>7330</v>
      </c>
      <c r="G149" s="166">
        <v>5720</v>
      </c>
      <c r="H149" s="166">
        <v>4090</v>
      </c>
      <c r="I149" s="166">
        <v>2480</v>
      </c>
      <c r="J149" s="166">
        <v>870</v>
      </c>
      <c r="K149" s="166">
        <v>0</v>
      </c>
      <c r="L149" s="167">
        <v>67600</v>
      </c>
    </row>
    <row r="150" spans="1:12">
      <c r="A150" s="164">
        <v>118</v>
      </c>
      <c r="B150" s="165">
        <v>356000</v>
      </c>
      <c r="C150" s="166">
        <v>359000</v>
      </c>
      <c r="D150" s="166">
        <v>13080</v>
      </c>
      <c r="E150" s="166">
        <v>9840</v>
      </c>
      <c r="F150" s="166">
        <v>7450</v>
      </c>
      <c r="G150" s="166">
        <v>5840</v>
      </c>
      <c r="H150" s="166">
        <v>4220</v>
      </c>
      <c r="I150" s="166">
        <v>2600</v>
      </c>
      <c r="J150" s="166">
        <v>990</v>
      </c>
      <c r="K150" s="166">
        <v>0</v>
      </c>
      <c r="L150" s="167">
        <v>68500</v>
      </c>
    </row>
    <row r="151" spans="1:12">
      <c r="A151" s="164">
        <v>119</v>
      </c>
      <c r="B151" s="165">
        <v>359000</v>
      </c>
      <c r="C151" s="166">
        <v>362000</v>
      </c>
      <c r="D151" s="166">
        <v>13320</v>
      </c>
      <c r="E151" s="166">
        <v>10090</v>
      </c>
      <c r="F151" s="166">
        <v>7580</v>
      </c>
      <c r="G151" s="166">
        <v>5960</v>
      </c>
      <c r="H151" s="166">
        <v>4340</v>
      </c>
      <c r="I151" s="166">
        <v>2730</v>
      </c>
      <c r="J151" s="166">
        <v>1110</v>
      </c>
      <c r="K151" s="166">
        <v>0</v>
      </c>
      <c r="L151" s="167">
        <v>69400</v>
      </c>
    </row>
    <row r="152" spans="1:12">
      <c r="A152" s="164">
        <v>120</v>
      </c>
      <c r="B152" s="165">
        <v>362000</v>
      </c>
      <c r="C152" s="166">
        <v>365000</v>
      </c>
      <c r="D152" s="166">
        <v>13570</v>
      </c>
      <c r="E152" s="166">
        <v>10330</v>
      </c>
      <c r="F152" s="166">
        <v>7700</v>
      </c>
      <c r="G152" s="166">
        <v>6090</v>
      </c>
      <c r="H152" s="166">
        <v>4460</v>
      </c>
      <c r="I152" s="166">
        <v>2850</v>
      </c>
      <c r="J152" s="166">
        <v>1240</v>
      </c>
      <c r="K152" s="166">
        <v>0</v>
      </c>
      <c r="L152" s="167">
        <v>70400</v>
      </c>
    </row>
    <row r="153" spans="1:12">
      <c r="A153" s="164"/>
      <c r="B153" s="165"/>
      <c r="C153" s="166"/>
      <c r="D153" s="166"/>
      <c r="E153" s="166"/>
      <c r="F153" s="166"/>
      <c r="G153" s="166"/>
      <c r="H153" s="166"/>
      <c r="I153" s="166"/>
      <c r="J153" s="166"/>
      <c r="K153" s="166"/>
      <c r="L153" s="167"/>
    </row>
    <row r="154" spans="1:12">
      <c r="A154" s="164">
        <v>121</v>
      </c>
      <c r="B154" s="165">
        <v>365000</v>
      </c>
      <c r="C154" s="166">
        <v>368000</v>
      </c>
      <c r="D154" s="166">
        <v>13810</v>
      </c>
      <c r="E154" s="166">
        <v>10580</v>
      </c>
      <c r="F154" s="166">
        <v>7820</v>
      </c>
      <c r="G154" s="166">
        <v>6210</v>
      </c>
      <c r="H154" s="166">
        <v>4580</v>
      </c>
      <c r="I154" s="166">
        <v>2970</v>
      </c>
      <c r="J154" s="166">
        <v>1360</v>
      </c>
      <c r="K154" s="166">
        <v>0</v>
      </c>
      <c r="L154" s="167">
        <v>71400</v>
      </c>
    </row>
    <row r="155" spans="1:12">
      <c r="A155" s="164">
        <v>122</v>
      </c>
      <c r="B155" s="165">
        <v>368000</v>
      </c>
      <c r="C155" s="166">
        <v>371000</v>
      </c>
      <c r="D155" s="166">
        <v>14060</v>
      </c>
      <c r="E155" s="166">
        <v>10820</v>
      </c>
      <c r="F155" s="166">
        <v>7940</v>
      </c>
      <c r="G155" s="166">
        <v>6330</v>
      </c>
      <c r="H155" s="166">
        <v>4710</v>
      </c>
      <c r="I155" s="166">
        <v>3090</v>
      </c>
      <c r="J155" s="166">
        <v>1480</v>
      </c>
      <c r="K155" s="166">
        <v>0</v>
      </c>
      <c r="L155" s="167">
        <v>72300</v>
      </c>
    </row>
    <row r="156" spans="1:12">
      <c r="A156" s="164">
        <v>123</v>
      </c>
      <c r="B156" s="165">
        <v>371000</v>
      </c>
      <c r="C156" s="166">
        <v>374000</v>
      </c>
      <c r="D156" s="166">
        <v>14300</v>
      </c>
      <c r="E156" s="166">
        <v>11070</v>
      </c>
      <c r="F156" s="166">
        <v>8070</v>
      </c>
      <c r="G156" s="166">
        <v>6450</v>
      </c>
      <c r="H156" s="166">
        <v>4830</v>
      </c>
      <c r="I156" s="166">
        <v>3220</v>
      </c>
      <c r="J156" s="166">
        <v>1600</v>
      </c>
      <c r="K156" s="166">
        <v>0</v>
      </c>
      <c r="L156" s="167">
        <v>73100</v>
      </c>
    </row>
    <row r="157" spans="1:12">
      <c r="A157" s="164">
        <v>124</v>
      </c>
      <c r="B157" s="165">
        <v>374000</v>
      </c>
      <c r="C157" s="166">
        <v>377000</v>
      </c>
      <c r="D157" s="166">
        <v>14550</v>
      </c>
      <c r="E157" s="166">
        <v>11310</v>
      </c>
      <c r="F157" s="166">
        <v>8190</v>
      </c>
      <c r="G157" s="166">
        <v>6580</v>
      </c>
      <c r="H157" s="166">
        <v>4950</v>
      </c>
      <c r="I157" s="166">
        <v>3340</v>
      </c>
      <c r="J157" s="166">
        <v>1730</v>
      </c>
      <c r="K157" s="166">
        <v>100</v>
      </c>
      <c r="L157" s="167">
        <v>73900</v>
      </c>
    </row>
    <row r="158" spans="1:12">
      <c r="A158" s="164">
        <v>125</v>
      </c>
      <c r="B158" s="165">
        <v>377000</v>
      </c>
      <c r="C158" s="166">
        <v>380000</v>
      </c>
      <c r="D158" s="166">
        <v>14790</v>
      </c>
      <c r="E158" s="166">
        <v>11560</v>
      </c>
      <c r="F158" s="166">
        <v>8320</v>
      </c>
      <c r="G158" s="166">
        <v>6700</v>
      </c>
      <c r="H158" s="166">
        <v>5070</v>
      </c>
      <c r="I158" s="166">
        <v>3460</v>
      </c>
      <c r="J158" s="166">
        <v>1850</v>
      </c>
      <c r="K158" s="166">
        <v>220</v>
      </c>
      <c r="L158" s="167">
        <v>74700</v>
      </c>
    </row>
    <row r="159" spans="1:12">
      <c r="A159" s="164"/>
      <c r="B159" s="165"/>
      <c r="C159" s="166"/>
      <c r="D159" s="166"/>
      <c r="E159" s="166"/>
      <c r="F159" s="166"/>
      <c r="G159" s="166"/>
      <c r="H159" s="166"/>
      <c r="I159" s="166"/>
      <c r="J159" s="166"/>
      <c r="K159" s="166"/>
      <c r="L159" s="167"/>
    </row>
    <row r="160" spans="1:12">
      <c r="A160" s="164">
        <v>126</v>
      </c>
      <c r="B160" s="165">
        <v>380000</v>
      </c>
      <c r="C160" s="166">
        <v>383000</v>
      </c>
      <c r="D160" s="166">
        <v>15040</v>
      </c>
      <c r="E160" s="166">
        <v>11800</v>
      </c>
      <c r="F160" s="166">
        <v>8570</v>
      </c>
      <c r="G160" s="166">
        <v>6820</v>
      </c>
      <c r="H160" s="166">
        <v>5200</v>
      </c>
      <c r="I160" s="166">
        <v>3580</v>
      </c>
      <c r="J160" s="166">
        <v>1970</v>
      </c>
      <c r="K160" s="166">
        <v>350</v>
      </c>
      <c r="L160" s="167">
        <v>75700</v>
      </c>
    </row>
    <row r="161" spans="1:12">
      <c r="A161" s="164">
        <v>127</v>
      </c>
      <c r="B161" s="165">
        <v>383000</v>
      </c>
      <c r="C161" s="166">
        <v>386000</v>
      </c>
      <c r="D161" s="166">
        <v>15280</v>
      </c>
      <c r="E161" s="166">
        <v>12050</v>
      </c>
      <c r="F161" s="166">
        <v>8810</v>
      </c>
      <c r="G161" s="166">
        <v>6940</v>
      </c>
      <c r="H161" s="166">
        <v>5320</v>
      </c>
      <c r="I161" s="166">
        <v>3710</v>
      </c>
      <c r="J161" s="166">
        <v>2090</v>
      </c>
      <c r="K161" s="166">
        <v>470</v>
      </c>
      <c r="L161" s="167">
        <v>76500</v>
      </c>
    </row>
    <row r="162" spans="1:12">
      <c r="A162" s="164">
        <v>128</v>
      </c>
      <c r="B162" s="165">
        <v>386000</v>
      </c>
      <c r="C162" s="166">
        <v>389000</v>
      </c>
      <c r="D162" s="166">
        <v>15530</v>
      </c>
      <c r="E162" s="166">
        <v>12290</v>
      </c>
      <c r="F162" s="166">
        <v>9060</v>
      </c>
      <c r="G162" s="166">
        <v>7070</v>
      </c>
      <c r="H162" s="166">
        <v>5440</v>
      </c>
      <c r="I162" s="166">
        <v>3830</v>
      </c>
      <c r="J162" s="166">
        <v>2220</v>
      </c>
      <c r="K162" s="166">
        <v>590</v>
      </c>
      <c r="L162" s="167">
        <v>77300</v>
      </c>
    </row>
    <row r="163" spans="1:12">
      <c r="A163" s="164">
        <v>129</v>
      </c>
      <c r="B163" s="165">
        <v>389000</v>
      </c>
      <c r="C163" s="166">
        <v>392000</v>
      </c>
      <c r="D163" s="166">
        <v>15770</v>
      </c>
      <c r="E163" s="166">
        <v>12540</v>
      </c>
      <c r="F163" s="166">
        <v>9300</v>
      </c>
      <c r="G163" s="166">
        <v>7190</v>
      </c>
      <c r="H163" s="166">
        <v>5560</v>
      </c>
      <c r="I163" s="166">
        <v>3950</v>
      </c>
      <c r="J163" s="166">
        <v>2340</v>
      </c>
      <c r="K163" s="166">
        <v>710</v>
      </c>
      <c r="L163" s="167">
        <v>78200</v>
      </c>
    </row>
    <row r="164" spans="1:12">
      <c r="A164" s="164">
        <v>130</v>
      </c>
      <c r="B164" s="165">
        <v>392000</v>
      </c>
      <c r="C164" s="166">
        <v>395000</v>
      </c>
      <c r="D164" s="166">
        <v>16020</v>
      </c>
      <c r="E164" s="166">
        <v>12780</v>
      </c>
      <c r="F164" s="166">
        <v>9550</v>
      </c>
      <c r="G164" s="166">
        <v>7310</v>
      </c>
      <c r="H164" s="166">
        <v>5690</v>
      </c>
      <c r="I164" s="166">
        <v>4070</v>
      </c>
      <c r="J164" s="166">
        <v>2460</v>
      </c>
      <c r="K164" s="166">
        <v>840</v>
      </c>
      <c r="L164" s="167">
        <v>79700</v>
      </c>
    </row>
    <row r="165" spans="1:12">
      <c r="A165" s="164"/>
      <c r="B165" s="165"/>
      <c r="C165" s="166"/>
      <c r="D165" s="166"/>
      <c r="E165" s="166"/>
      <c r="F165" s="166"/>
      <c r="G165" s="166"/>
      <c r="H165" s="166"/>
      <c r="I165" s="166"/>
      <c r="J165" s="166"/>
      <c r="K165" s="166"/>
      <c r="L165" s="167"/>
    </row>
    <row r="166" spans="1:12">
      <c r="A166" s="164">
        <v>131</v>
      </c>
      <c r="B166" s="165">
        <v>395000</v>
      </c>
      <c r="C166" s="166">
        <v>398000</v>
      </c>
      <c r="D166" s="166">
        <v>16260</v>
      </c>
      <c r="E166" s="166">
        <v>13030</v>
      </c>
      <c r="F166" s="166">
        <v>9790</v>
      </c>
      <c r="G166" s="166">
        <v>7430</v>
      </c>
      <c r="H166" s="166">
        <v>5810</v>
      </c>
      <c r="I166" s="166">
        <v>4200</v>
      </c>
      <c r="J166" s="166">
        <v>2580</v>
      </c>
      <c r="K166" s="166">
        <v>960</v>
      </c>
      <c r="L166" s="167">
        <v>81400</v>
      </c>
    </row>
    <row r="167" spans="1:12">
      <c r="A167" s="164">
        <v>132</v>
      </c>
      <c r="B167" s="165">
        <v>398000</v>
      </c>
      <c r="C167" s="166">
        <v>401000</v>
      </c>
      <c r="D167" s="166">
        <v>16510</v>
      </c>
      <c r="E167" s="166">
        <v>13270</v>
      </c>
      <c r="F167" s="166">
        <v>10040</v>
      </c>
      <c r="G167" s="166">
        <v>7560</v>
      </c>
      <c r="H167" s="166">
        <v>5930</v>
      </c>
      <c r="I167" s="166">
        <v>4320</v>
      </c>
      <c r="J167" s="166">
        <v>2710</v>
      </c>
      <c r="K167" s="166">
        <v>1080</v>
      </c>
      <c r="L167" s="167">
        <v>82900</v>
      </c>
    </row>
    <row r="168" spans="1:12">
      <c r="A168" s="164">
        <v>133</v>
      </c>
      <c r="B168" s="165">
        <v>401000</v>
      </c>
      <c r="C168" s="166">
        <v>404000</v>
      </c>
      <c r="D168" s="166">
        <v>16750</v>
      </c>
      <c r="E168" s="166">
        <v>13520</v>
      </c>
      <c r="F168" s="166">
        <v>10280</v>
      </c>
      <c r="G168" s="166">
        <v>7680</v>
      </c>
      <c r="H168" s="166">
        <v>6050</v>
      </c>
      <c r="I168" s="166">
        <v>4440</v>
      </c>
      <c r="J168" s="166">
        <v>2830</v>
      </c>
      <c r="K168" s="166">
        <v>1200</v>
      </c>
      <c r="L168" s="167">
        <v>84500</v>
      </c>
    </row>
    <row r="169" spans="1:12">
      <c r="A169" s="164">
        <v>134</v>
      </c>
      <c r="B169" s="165">
        <v>404000</v>
      </c>
      <c r="C169" s="166">
        <v>407000</v>
      </c>
      <c r="D169" s="166">
        <v>17000</v>
      </c>
      <c r="E169" s="166">
        <v>13760</v>
      </c>
      <c r="F169" s="166">
        <v>10530</v>
      </c>
      <c r="G169" s="166">
        <v>7800</v>
      </c>
      <c r="H169" s="166">
        <v>6180</v>
      </c>
      <c r="I169" s="166">
        <v>4560</v>
      </c>
      <c r="J169" s="166">
        <v>2950</v>
      </c>
      <c r="K169" s="166">
        <v>1330</v>
      </c>
      <c r="L169" s="167">
        <v>86100</v>
      </c>
    </row>
    <row r="170" spans="1:12">
      <c r="A170" s="164">
        <v>135</v>
      </c>
      <c r="B170" s="165">
        <v>407000</v>
      </c>
      <c r="C170" s="166">
        <v>410000</v>
      </c>
      <c r="D170" s="166">
        <v>17240</v>
      </c>
      <c r="E170" s="166">
        <v>14010</v>
      </c>
      <c r="F170" s="166">
        <v>10770</v>
      </c>
      <c r="G170" s="166">
        <v>7920</v>
      </c>
      <c r="H170" s="166">
        <v>6300</v>
      </c>
      <c r="I170" s="166">
        <v>4690</v>
      </c>
      <c r="J170" s="166">
        <v>3070</v>
      </c>
      <c r="K170" s="166">
        <v>1450</v>
      </c>
      <c r="L170" s="167">
        <v>87700</v>
      </c>
    </row>
    <row r="171" spans="1:12">
      <c r="A171" s="164"/>
      <c r="B171" s="165"/>
      <c r="C171" s="166"/>
      <c r="D171" s="166"/>
      <c r="E171" s="166"/>
      <c r="F171" s="166"/>
      <c r="G171" s="166"/>
      <c r="H171" s="166"/>
      <c r="I171" s="166"/>
      <c r="J171" s="166"/>
      <c r="K171" s="166"/>
      <c r="L171" s="167"/>
    </row>
    <row r="172" spans="1:12">
      <c r="A172" s="164">
        <v>136</v>
      </c>
      <c r="B172" s="165">
        <v>410000</v>
      </c>
      <c r="C172" s="166">
        <v>413000</v>
      </c>
      <c r="D172" s="166">
        <v>17490</v>
      </c>
      <c r="E172" s="166">
        <v>14250</v>
      </c>
      <c r="F172" s="166">
        <v>11020</v>
      </c>
      <c r="G172" s="166">
        <v>8050</v>
      </c>
      <c r="H172" s="166">
        <v>6420</v>
      </c>
      <c r="I172" s="166">
        <v>4810</v>
      </c>
      <c r="J172" s="166">
        <v>3200</v>
      </c>
      <c r="K172" s="166">
        <v>1570</v>
      </c>
      <c r="L172" s="167">
        <v>89200</v>
      </c>
    </row>
    <row r="173" spans="1:12">
      <c r="A173" s="164">
        <v>137</v>
      </c>
      <c r="B173" s="165">
        <v>413000</v>
      </c>
      <c r="C173" s="166">
        <v>416000</v>
      </c>
      <c r="D173" s="166">
        <v>17730</v>
      </c>
      <c r="E173" s="166">
        <v>14500</v>
      </c>
      <c r="F173" s="166">
        <v>11260</v>
      </c>
      <c r="G173" s="166">
        <v>8170</v>
      </c>
      <c r="H173" s="166">
        <v>6540</v>
      </c>
      <c r="I173" s="166">
        <v>4930</v>
      </c>
      <c r="J173" s="166">
        <v>3320</v>
      </c>
      <c r="K173" s="166">
        <v>1690</v>
      </c>
      <c r="L173" s="167">
        <v>90800</v>
      </c>
    </row>
    <row r="174" spans="1:12">
      <c r="A174" s="164">
        <v>138</v>
      </c>
      <c r="B174" s="165">
        <v>416000</v>
      </c>
      <c r="C174" s="166">
        <v>419000</v>
      </c>
      <c r="D174" s="166">
        <v>17980</v>
      </c>
      <c r="E174" s="166">
        <v>14740</v>
      </c>
      <c r="F174" s="166">
        <v>11510</v>
      </c>
      <c r="G174" s="166">
        <v>8290</v>
      </c>
      <c r="H174" s="166">
        <v>6670</v>
      </c>
      <c r="I174" s="166">
        <v>5050</v>
      </c>
      <c r="J174" s="166">
        <v>3440</v>
      </c>
      <c r="K174" s="166">
        <v>1820</v>
      </c>
      <c r="L174" s="167">
        <v>92400</v>
      </c>
    </row>
    <row r="175" spans="1:12">
      <c r="A175" s="164">
        <v>139</v>
      </c>
      <c r="B175" s="165">
        <v>419000</v>
      </c>
      <c r="C175" s="166">
        <v>422000</v>
      </c>
      <c r="D175" s="166">
        <v>18220</v>
      </c>
      <c r="E175" s="166">
        <v>14990</v>
      </c>
      <c r="F175" s="166">
        <v>11750</v>
      </c>
      <c r="G175" s="166">
        <v>8530</v>
      </c>
      <c r="H175" s="166">
        <v>6790</v>
      </c>
      <c r="I175" s="166">
        <v>5180</v>
      </c>
      <c r="J175" s="166">
        <v>3560</v>
      </c>
      <c r="K175" s="166">
        <v>1940</v>
      </c>
      <c r="L175" s="167">
        <v>93900</v>
      </c>
    </row>
    <row r="176" spans="1:12">
      <c r="A176" s="164">
        <v>140</v>
      </c>
      <c r="B176" s="165">
        <v>422000</v>
      </c>
      <c r="C176" s="166">
        <v>425000</v>
      </c>
      <c r="D176" s="166">
        <v>18470</v>
      </c>
      <c r="E176" s="166">
        <v>15230</v>
      </c>
      <c r="F176" s="166">
        <v>12000</v>
      </c>
      <c r="G176" s="166">
        <v>8770</v>
      </c>
      <c r="H176" s="166">
        <v>6910</v>
      </c>
      <c r="I176" s="166">
        <v>5300</v>
      </c>
      <c r="J176" s="166">
        <v>3690</v>
      </c>
      <c r="K176" s="166">
        <v>2060</v>
      </c>
      <c r="L176" s="167">
        <v>95600</v>
      </c>
    </row>
    <row r="177" spans="1:12">
      <c r="A177" s="164"/>
      <c r="B177" s="165"/>
      <c r="C177" s="166"/>
      <c r="D177" s="166"/>
      <c r="E177" s="166"/>
      <c r="F177" s="166"/>
      <c r="G177" s="166"/>
      <c r="H177" s="166"/>
      <c r="I177" s="166"/>
      <c r="J177" s="166"/>
      <c r="K177" s="166"/>
      <c r="L177" s="167"/>
    </row>
    <row r="178" spans="1:12">
      <c r="A178" s="164">
        <v>141</v>
      </c>
      <c r="B178" s="165">
        <v>425000</v>
      </c>
      <c r="C178" s="166">
        <v>428000</v>
      </c>
      <c r="D178" s="166">
        <v>18710</v>
      </c>
      <c r="E178" s="166">
        <v>15480</v>
      </c>
      <c r="F178" s="166">
        <v>12240</v>
      </c>
      <c r="G178" s="166">
        <v>9020</v>
      </c>
      <c r="H178" s="166">
        <v>7030</v>
      </c>
      <c r="I178" s="166">
        <v>5420</v>
      </c>
      <c r="J178" s="166">
        <v>3810</v>
      </c>
      <c r="K178" s="166">
        <v>2180</v>
      </c>
      <c r="L178" s="167">
        <v>97100</v>
      </c>
    </row>
    <row r="179" spans="1:12">
      <c r="A179" s="164">
        <v>142</v>
      </c>
      <c r="B179" s="165">
        <v>428000</v>
      </c>
      <c r="C179" s="166">
        <v>431000</v>
      </c>
      <c r="D179" s="166">
        <v>18960</v>
      </c>
      <c r="E179" s="166">
        <v>15720</v>
      </c>
      <c r="F179" s="166">
        <v>12490</v>
      </c>
      <c r="G179" s="166">
        <v>9260</v>
      </c>
      <c r="H179" s="166">
        <v>7160</v>
      </c>
      <c r="I179" s="166">
        <v>5540</v>
      </c>
      <c r="J179" s="166">
        <v>3930</v>
      </c>
      <c r="K179" s="166">
        <v>2310</v>
      </c>
      <c r="L179" s="167">
        <v>98600</v>
      </c>
    </row>
    <row r="180" spans="1:12">
      <c r="A180" s="164">
        <v>143</v>
      </c>
      <c r="B180" s="165">
        <v>431000</v>
      </c>
      <c r="C180" s="166">
        <v>434000</v>
      </c>
      <c r="D180" s="166">
        <v>19210</v>
      </c>
      <c r="E180" s="166">
        <v>15970</v>
      </c>
      <c r="F180" s="166">
        <v>12730</v>
      </c>
      <c r="G180" s="166">
        <v>9510</v>
      </c>
      <c r="H180" s="166">
        <v>7280</v>
      </c>
      <c r="I180" s="166">
        <v>5670</v>
      </c>
      <c r="J180" s="166">
        <v>4050</v>
      </c>
      <c r="K180" s="166">
        <v>2430</v>
      </c>
      <c r="L180" s="167">
        <v>100300</v>
      </c>
    </row>
    <row r="181" spans="1:12">
      <c r="A181" s="164">
        <v>144</v>
      </c>
      <c r="B181" s="165">
        <v>434000</v>
      </c>
      <c r="C181" s="166">
        <v>437000</v>
      </c>
      <c r="D181" s="166">
        <v>19450</v>
      </c>
      <c r="E181" s="166">
        <v>16210</v>
      </c>
      <c r="F181" s="166">
        <v>12980</v>
      </c>
      <c r="G181" s="166">
        <v>9750</v>
      </c>
      <c r="H181" s="166">
        <v>7400</v>
      </c>
      <c r="I181" s="166">
        <v>5790</v>
      </c>
      <c r="J181" s="166">
        <v>4180</v>
      </c>
      <c r="K181" s="166">
        <v>2550</v>
      </c>
      <c r="L181" s="167">
        <v>101800</v>
      </c>
    </row>
    <row r="182" spans="1:12">
      <c r="A182" s="164">
        <v>145</v>
      </c>
      <c r="B182" s="165">
        <v>437000</v>
      </c>
      <c r="C182" s="166">
        <v>440000</v>
      </c>
      <c r="D182" s="166">
        <v>19700</v>
      </c>
      <c r="E182" s="166">
        <v>16460</v>
      </c>
      <c r="F182" s="166">
        <v>13220</v>
      </c>
      <c r="G182" s="166">
        <v>10000</v>
      </c>
      <c r="H182" s="166">
        <v>7520</v>
      </c>
      <c r="I182" s="166">
        <v>5910</v>
      </c>
      <c r="J182" s="166">
        <v>4300</v>
      </c>
      <c r="K182" s="166">
        <v>2680</v>
      </c>
      <c r="L182" s="167">
        <v>103400</v>
      </c>
    </row>
    <row r="183" spans="1:12" ht="14.25" thickBot="1">
      <c r="A183" s="164"/>
      <c r="B183" s="168"/>
      <c r="C183" s="169"/>
      <c r="D183" s="169"/>
      <c r="E183" s="169"/>
      <c r="F183" s="169"/>
      <c r="G183" s="169"/>
      <c r="H183" s="169"/>
      <c r="I183" s="169"/>
      <c r="J183" s="169"/>
      <c r="K183" s="169"/>
      <c r="L183" s="170"/>
    </row>
    <row r="184" spans="1:12">
      <c r="A184" s="164">
        <v>146</v>
      </c>
      <c r="B184" s="165">
        <v>440000</v>
      </c>
      <c r="C184" s="166">
        <v>443000</v>
      </c>
      <c r="D184" s="166">
        <v>20090</v>
      </c>
      <c r="E184" s="166">
        <v>16700</v>
      </c>
      <c r="F184" s="166">
        <v>13470</v>
      </c>
      <c r="G184" s="166">
        <v>10240</v>
      </c>
      <c r="H184" s="166">
        <v>7650</v>
      </c>
      <c r="I184" s="166">
        <v>6030</v>
      </c>
      <c r="J184" s="166">
        <v>4420</v>
      </c>
      <c r="K184" s="166">
        <v>2800</v>
      </c>
      <c r="L184" s="167">
        <v>105000</v>
      </c>
    </row>
    <row r="185" spans="1:12">
      <c r="A185" s="164">
        <v>147</v>
      </c>
      <c r="B185" s="165">
        <v>443000</v>
      </c>
      <c r="C185" s="166">
        <v>446000</v>
      </c>
      <c r="D185" s="166">
        <v>20580</v>
      </c>
      <c r="E185" s="166">
        <v>16950</v>
      </c>
      <c r="F185" s="166">
        <v>13710</v>
      </c>
      <c r="G185" s="166">
        <v>10490</v>
      </c>
      <c r="H185" s="166">
        <v>7770</v>
      </c>
      <c r="I185" s="166">
        <v>6160</v>
      </c>
      <c r="J185" s="166">
        <v>4540</v>
      </c>
      <c r="K185" s="166">
        <v>2920</v>
      </c>
      <c r="L185" s="167">
        <v>106600</v>
      </c>
    </row>
    <row r="186" spans="1:12">
      <c r="A186" s="164">
        <v>148</v>
      </c>
      <c r="B186" s="165">
        <v>446000</v>
      </c>
      <c r="C186" s="166">
        <v>449000</v>
      </c>
      <c r="D186" s="166">
        <v>21070</v>
      </c>
      <c r="E186" s="166">
        <v>17190</v>
      </c>
      <c r="F186" s="166">
        <v>13960</v>
      </c>
      <c r="G186" s="166">
        <v>10730</v>
      </c>
      <c r="H186" s="166">
        <v>7890</v>
      </c>
      <c r="I186" s="166">
        <v>6280</v>
      </c>
      <c r="J186" s="166">
        <v>4670</v>
      </c>
      <c r="K186" s="166">
        <v>3040</v>
      </c>
      <c r="L186" s="167">
        <v>108100</v>
      </c>
    </row>
    <row r="187" spans="1:12">
      <c r="A187" s="164">
        <v>149</v>
      </c>
      <c r="B187" s="165">
        <v>449000</v>
      </c>
      <c r="C187" s="166">
        <v>452000</v>
      </c>
      <c r="D187" s="166">
        <v>21560</v>
      </c>
      <c r="E187" s="166">
        <v>17440</v>
      </c>
      <c r="F187" s="166">
        <v>14200</v>
      </c>
      <c r="G187" s="166">
        <v>10980</v>
      </c>
      <c r="H187" s="166">
        <v>8010</v>
      </c>
      <c r="I187" s="166">
        <v>6400</v>
      </c>
      <c r="J187" s="166">
        <v>4790</v>
      </c>
      <c r="K187" s="166">
        <v>3170</v>
      </c>
      <c r="L187" s="167">
        <v>109700</v>
      </c>
    </row>
    <row r="188" spans="1:12">
      <c r="A188" s="164">
        <v>150</v>
      </c>
      <c r="B188" s="165">
        <v>452000</v>
      </c>
      <c r="C188" s="166">
        <v>455000</v>
      </c>
      <c r="D188" s="166">
        <v>22050</v>
      </c>
      <c r="E188" s="166">
        <v>17680</v>
      </c>
      <c r="F188" s="166">
        <v>14450</v>
      </c>
      <c r="G188" s="166">
        <v>11220</v>
      </c>
      <c r="H188" s="166">
        <v>8140</v>
      </c>
      <c r="I188" s="166">
        <v>6520</v>
      </c>
      <c r="J188" s="166">
        <v>4910</v>
      </c>
      <c r="K188" s="166">
        <v>3290</v>
      </c>
      <c r="L188" s="167">
        <v>111300</v>
      </c>
    </row>
    <row r="189" spans="1:12">
      <c r="A189" s="164"/>
      <c r="B189" s="165"/>
      <c r="C189" s="166"/>
      <c r="D189" s="166"/>
      <c r="E189" s="166"/>
      <c r="F189" s="166"/>
      <c r="G189" s="166"/>
      <c r="H189" s="166"/>
      <c r="I189" s="166"/>
      <c r="J189" s="166"/>
      <c r="K189" s="166"/>
      <c r="L189" s="167"/>
    </row>
    <row r="190" spans="1:12">
      <c r="A190" s="164">
        <v>151</v>
      </c>
      <c r="B190" s="165">
        <v>455000</v>
      </c>
      <c r="C190" s="166">
        <v>458000</v>
      </c>
      <c r="D190" s="166">
        <v>22540</v>
      </c>
      <c r="E190" s="166">
        <v>17930</v>
      </c>
      <c r="F190" s="166">
        <v>14690</v>
      </c>
      <c r="G190" s="166">
        <v>11470</v>
      </c>
      <c r="H190" s="166">
        <v>8260</v>
      </c>
      <c r="I190" s="166">
        <v>6650</v>
      </c>
      <c r="J190" s="166">
        <v>5030</v>
      </c>
      <c r="K190" s="166">
        <v>3410</v>
      </c>
      <c r="L190" s="167">
        <v>112800</v>
      </c>
    </row>
    <row r="191" spans="1:12">
      <c r="A191" s="164">
        <v>152</v>
      </c>
      <c r="B191" s="165">
        <v>458000</v>
      </c>
      <c r="C191" s="166">
        <v>461000</v>
      </c>
      <c r="D191" s="166">
        <v>23030</v>
      </c>
      <c r="E191" s="166">
        <v>18170</v>
      </c>
      <c r="F191" s="166">
        <v>14940</v>
      </c>
      <c r="G191" s="166">
        <v>11710</v>
      </c>
      <c r="H191" s="166">
        <v>8470</v>
      </c>
      <c r="I191" s="166">
        <v>6770</v>
      </c>
      <c r="J191" s="166">
        <v>5160</v>
      </c>
      <c r="K191" s="166">
        <v>3530</v>
      </c>
      <c r="L191" s="167">
        <v>114500</v>
      </c>
    </row>
    <row r="192" spans="1:12">
      <c r="A192" s="164">
        <v>153</v>
      </c>
      <c r="B192" s="165">
        <v>461000</v>
      </c>
      <c r="C192" s="166">
        <v>464000</v>
      </c>
      <c r="D192" s="166">
        <v>23520</v>
      </c>
      <c r="E192" s="166">
        <v>18420</v>
      </c>
      <c r="F192" s="166">
        <v>15180</v>
      </c>
      <c r="G192" s="166">
        <v>11960</v>
      </c>
      <c r="H192" s="166">
        <v>8720</v>
      </c>
      <c r="I192" s="166">
        <v>6890</v>
      </c>
      <c r="J192" s="166">
        <v>5280</v>
      </c>
      <c r="K192" s="166">
        <v>3660</v>
      </c>
      <c r="L192" s="167">
        <v>116000</v>
      </c>
    </row>
    <row r="193" spans="1:12">
      <c r="A193" s="164">
        <v>154</v>
      </c>
      <c r="B193" s="165">
        <v>464000</v>
      </c>
      <c r="C193" s="166">
        <v>467000</v>
      </c>
      <c r="D193" s="166">
        <v>24010</v>
      </c>
      <c r="E193" s="166">
        <v>18660</v>
      </c>
      <c r="F193" s="166">
        <v>15430</v>
      </c>
      <c r="G193" s="166">
        <v>12200</v>
      </c>
      <c r="H193" s="166">
        <v>8960</v>
      </c>
      <c r="I193" s="166">
        <v>7010</v>
      </c>
      <c r="J193" s="166">
        <v>5400</v>
      </c>
      <c r="K193" s="166">
        <v>3780</v>
      </c>
      <c r="L193" s="167">
        <v>117500</v>
      </c>
    </row>
    <row r="194" spans="1:12">
      <c r="A194" s="164">
        <v>155</v>
      </c>
      <c r="B194" s="165">
        <v>467000</v>
      </c>
      <c r="C194" s="166">
        <v>470000</v>
      </c>
      <c r="D194" s="166">
        <v>24500</v>
      </c>
      <c r="E194" s="166">
        <v>18910</v>
      </c>
      <c r="F194" s="166">
        <v>15670</v>
      </c>
      <c r="G194" s="166">
        <v>12450</v>
      </c>
      <c r="H194" s="166">
        <v>9210</v>
      </c>
      <c r="I194" s="166">
        <v>7140</v>
      </c>
      <c r="J194" s="166">
        <v>5520</v>
      </c>
      <c r="K194" s="166">
        <v>3900</v>
      </c>
      <c r="L194" s="167">
        <v>119200</v>
      </c>
    </row>
    <row r="195" spans="1:12">
      <c r="A195" s="164"/>
      <c r="B195" s="165"/>
      <c r="C195" s="166"/>
      <c r="D195" s="166"/>
      <c r="E195" s="166"/>
      <c r="F195" s="166"/>
      <c r="G195" s="166"/>
      <c r="H195" s="166"/>
      <c r="I195" s="166"/>
      <c r="J195" s="166"/>
      <c r="K195" s="166"/>
      <c r="L195" s="167"/>
    </row>
    <row r="196" spans="1:12">
      <c r="A196" s="164">
        <v>156</v>
      </c>
      <c r="B196" s="165">
        <v>470000</v>
      </c>
      <c r="C196" s="166">
        <v>473000</v>
      </c>
      <c r="D196" s="166">
        <v>24990</v>
      </c>
      <c r="E196" s="166">
        <v>19150</v>
      </c>
      <c r="F196" s="166">
        <v>15920</v>
      </c>
      <c r="G196" s="166">
        <v>12690</v>
      </c>
      <c r="H196" s="166">
        <v>9450</v>
      </c>
      <c r="I196" s="166">
        <v>7260</v>
      </c>
      <c r="J196" s="166">
        <v>5650</v>
      </c>
      <c r="K196" s="166">
        <v>4020</v>
      </c>
      <c r="L196" s="167">
        <v>120700</v>
      </c>
    </row>
    <row r="197" spans="1:12">
      <c r="A197" s="164">
        <v>157</v>
      </c>
      <c r="B197" s="165">
        <v>473000</v>
      </c>
      <c r="C197" s="166">
        <v>476000</v>
      </c>
      <c r="D197" s="166">
        <v>25480</v>
      </c>
      <c r="E197" s="166">
        <v>19400</v>
      </c>
      <c r="F197" s="166">
        <v>16160</v>
      </c>
      <c r="G197" s="166">
        <v>12940</v>
      </c>
      <c r="H197" s="166">
        <v>9700</v>
      </c>
      <c r="I197" s="166">
        <v>7380</v>
      </c>
      <c r="J197" s="166">
        <v>5770</v>
      </c>
      <c r="K197" s="166">
        <v>4150</v>
      </c>
      <c r="L197" s="167">
        <v>122300</v>
      </c>
    </row>
    <row r="198" spans="1:12">
      <c r="A198" s="164">
        <v>158</v>
      </c>
      <c r="B198" s="165">
        <v>476000</v>
      </c>
      <c r="C198" s="166">
        <v>479000</v>
      </c>
      <c r="D198" s="166">
        <v>25970</v>
      </c>
      <c r="E198" s="166">
        <v>19640</v>
      </c>
      <c r="F198" s="166">
        <v>16410</v>
      </c>
      <c r="G198" s="166">
        <v>13180</v>
      </c>
      <c r="H198" s="166">
        <v>9940</v>
      </c>
      <c r="I198" s="166">
        <v>7500</v>
      </c>
      <c r="J198" s="166">
        <v>5890</v>
      </c>
      <c r="K198" s="166">
        <v>4270</v>
      </c>
      <c r="L198" s="167">
        <v>123800</v>
      </c>
    </row>
    <row r="199" spans="1:12">
      <c r="A199" s="164">
        <v>159</v>
      </c>
      <c r="B199" s="165">
        <v>479000</v>
      </c>
      <c r="C199" s="166">
        <v>482000</v>
      </c>
      <c r="D199" s="166">
        <v>26460</v>
      </c>
      <c r="E199" s="166">
        <v>20000</v>
      </c>
      <c r="F199" s="166">
        <v>16650</v>
      </c>
      <c r="G199" s="166">
        <v>13430</v>
      </c>
      <c r="H199" s="166">
        <v>10190</v>
      </c>
      <c r="I199" s="166">
        <v>7630</v>
      </c>
      <c r="J199" s="166">
        <v>6010</v>
      </c>
      <c r="K199" s="166">
        <v>4390</v>
      </c>
      <c r="L199" s="167">
        <v>125400</v>
      </c>
    </row>
    <row r="200" spans="1:12">
      <c r="A200" s="164">
        <v>160</v>
      </c>
      <c r="B200" s="165">
        <v>482000</v>
      </c>
      <c r="C200" s="166">
        <v>485000</v>
      </c>
      <c r="D200" s="166">
        <v>26950</v>
      </c>
      <c r="E200" s="166">
        <v>20490</v>
      </c>
      <c r="F200" s="166">
        <v>16900</v>
      </c>
      <c r="G200" s="166">
        <v>13670</v>
      </c>
      <c r="H200" s="166">
        <v>10430</v>
      </c>
      <c r="I200" s="166">
        <v>7750</v>
      </c>
      <c r="J200" s="166">
        <v>6140</v>
      </c>
      <c r="K200" s="166">
        <v>4510</v>
      </c>
      <c r="L200" s="167">
        <v>127000</v>
      </c>
    </row>
    <row r="201" spans="1:12">
      <c r="A201" s="164"/>
      <c r="B201" s="165"/>
      <c r="C201" s="166"/>
      <c r="D201" s="166"/>
      <c r="E201" s="166"/>
      <c r="F201" s="166"/>
      <c r="G201" s="166"/>
      <c r="H201" s="166"/>
      <c r="I201" s="166"/>
      <c r="J201" s="166"/>
      <c r="K201" s="166"/>
      <c r="L201" s="167"/>
    </row>
    <row r="202" spans="1:12">
      <c r="A202" s="164">
        <v>161</v>
      </c>
      <c r="B202" s="165">
        <v>485000</v>
      </c>
      <c r="C202" s="166">
        <v>488000</v>
      </c>
      <c r="D202" s="166">
        <v>27440</v>
      </c>
      <c r="E202" s="166">
        <v>20980</v>
      </c>
      <c r="F202" s="166">
        <v>17140</v>
      </c>
      <c r="G202" s="166">
        <v>13920</v>
      </c>
      <c r="H202" s="166">
        <v>10680</v>
      </c>
      <c r="I202" s="166">
        <v>7870</v>
      </c>
      <c r="J202" s="166">
        <v>6260</v>
      </c>
      <c r="K202" s="166">
        <v>4640</v>
      </c>
      <c r="L202" s="167">
        <v>128500</v>
      </c>
    </row>
    <row r="203" spans="1:12">
      <c r="A203" s="164">
        <v>162</v>
      </c>
      <c r="B203" s="165">
        <v>488000</v>
      </c>
      <c r="C203" s="166">
        <v>491000</v>
      </c>
      <c r="D203" s="166">
        <v>27930</v>
      </c>
      <c r="E203" s="166">
        <v>21470</v>
      </c>
      <c r="F203" s="166">
        <v>17390</v>
      </c>
      <c r="G203" s="166">
        <v>14160</v>
      </c>
      <c r="H203" s="166">
        <v>10920</v>
      </c>
      <c r="I203" s="166">
        <v>7990</v>
      </c>
      <c r="J203" s="166">
        <v>6380</v>
      </c>
      <c r="K203" s="166">
        <v>4760</v>
      </c>
      <c r="L203" s="167">
        <v>130200</v>
      </c>
    </row>
    <row r="204" spans="1:12">
      <c r="A204" s="164">
        <v>163</v>
      </c>
      <c r="B204" s="165">
        <v>491000</v>
      </c>
      <c r="C204" s="166">
        <v>494000</v>
      </c>
      <c r="D204" s="166">
        <v>28420</v>
      </c>
      <c r="E204" s="166">
        <v>21960</v>
      </c>
      <c r="F204" s="166">
        <v>17630</v>
      </c>
      <c r="G204" s="166">
        <v>14410</v>
      </c>
      <c r="H204" s="166">
        <v>11170</v>
      </c>
      <c r="I204" s="166">
        <v>8120</v>
      </c>
      <c r="J204" s="166">
        <v>6500</v>
      </c>
      <c r="K204" s="166">
        <v>4880</v>
      </c>
      <c r="L204" s="167">
        <v>131700</v>
      </c>
    </row>
    <row r="205" spans="1:12">
      <c r="A205" s="164">
        <v>164</v>
      </c>
      <c r="B205" s="165">
        <v>494000</v>
      </c>
      <c r="C205" s="166">
        <v>497000</v>
      </c>
      <c r="D205" s="166">
        <v>28910</v>
      </c>
      <c r="E205" s="166">
        <v>22450</v>
      </c>
      <c r="F205" s="166">
        <v>17880</v>
      </c>
      <c r="G205" s="166">
        <v>14650</v>
      </c>
      <c r="H205" s="166">
        <v>11410</v>
      </c>
      <c r="I205" s="166">
        <v>8240</v>
      </c>
      <c r="J205" s="166">
        <v>6630</v>
      </c>
      <c r="K205" s="166">
        <v>5000</v>
      </c>
      <c r="L205" s="167">
        <v>133300</v>
      </c>
    </row>
    <row r="206" spans="1:12">
      <c r="A206" s="164">
        <v>165</v>
      </c>
      <c r="B206" s="165">
        <v>497000</v>
      </c>
      <c r="C206" s="166">
        <v>500000</v>
      </c>
      <c r="D206" s="166">
        <v>29400</v>
      </c>
      <c r="E206" s="166">
        <v>22940</v>
      </c>
      <c r="F206" s="166">
        <v>18120</v>
      </c>
      <c r="G206" s="166">
        <v>14900</v>
      </c>
      <c r="H206" s="166">
        <v>11660</v>
      </c>
      <c r="I206" s="166">
        <v>8420</v>
      </c>
      <c r="J206" s="166">
        <v>6750</v>
      </c>
      <c r="K206" s="166">
        <v>5130</v>
      </c>
      <c r="L206" s="167">
        <v>134900</v>
      </c>
    </row>
    <row r="207" spans="1:12">
      <c r="A207" s="164"/>
      <c r="B207" s="165"/>
      <c r="C207" s="166"/>
      <c r="D207" s="166"/>
      <c r="E207" s="166"/>
      <c r="F207" s="166"/>
      <c r="G207" s="166"/>
      <c r="H207" s="166"/>
      <c r="I207" s="166"/>
      <c r="J207" s="166"/>
      <c r="K207" s="166"/>
      <c r="L207" s="167"/>
    </row>
    <row r="208" spans="1:12">
      <c r="A208" s="164">
        <v>166</v>
      </c>
      <c r="B208" s="165">
        <v>500000</v>
      </c>
      <c r="C208" s="166">
        <v>503000</v>
      </c>
      <c r="D208" s="166">
        <v>29890</v>
      </c>
      <c r="E208" s="166">
        <v>23430</v>
      </c>
      <c r="F208" s="166">
        <v>18370</v>
      </c>
      <c r="G208" s="166">
        <v>15140</v>
      </c>
      <c r="H208" s="166">
        <v>11900</v>
      </c>
      <c r="I208" s="166">
        <v>8670</v>
      </c>
      <c r="J208" s="166">
        <v>6870</v>
      </c>
      <c r="K208" s="166">
        <v>5250</v>
      </c>
      <c r="L208" s="167">
        <v>136400</v>
      </c>
    </row>
    <row r="209" spans="1:12">
      <c r="A209" s="164">
        <v>167</v>
      </c>
      <c r="B209" s="165">
        <v>503000</v>
      </c>
      <c r="C209" s="166">
        <v>506000</v>
      </c>
      <c r="D209" s="166">
        <v>30380</v>
      </c>
      <c r="E209" s="166">
        <v>23920</v>
      </c>
      <c r="F209" s="166">
        <v>18610</v>
      </c>
      <c r="G209" s="166">
        <v>15390</v>
      </c>
      <c r="H209" s="166">
        <v>12150</v>
      </c>
      <c r="I209" s="166">
        <v>8910</v>
      </c>
      <c r="J209" s="166">
        <v>6990</v>
      </c>
      <c r="K209" s="166">
        <v>5370</v>
      </c>
      <c r="L209" s="167">
        <v>138100</v>
      </c>
    </row>
    <row r="210" spans="1:12">
      <c r="A210" s="164">
        <v>168</v>
      </c>
      <c r="B210" s="165">
        <v>506000</v>
      </c>
      <c r="C210" s="166">
        <v>509000</v>
      </c>
      <c r="D210" s="166">
        <v>30880</v>
      </c>
      <c r="E210" s="166">
        <v>24410</v>
      </c>
      <c r="F210" s="166">
        <v>18860</v>
      </c>
      <c r="G210" s="166">
        <v>15630</v>
      </c>
      <c r="H210" s="166">
        <v>12390</v>
      </c>
      <c r="I210" s="166">
        <v>9160</v>
      </c>
      <c r="J210" s="166">
        <v>7120</v>
      </c>
      <c r="K210" s="166">
        <v>5490</v>
      </c>
      <c r="L210" s="167">
        <v>139900</v>
      </c>
    </row>
    <row r="211" spans="1:12">
      <c r="A211" s="164">
        <v>169</v>
      </c>
      <c r="B211" s="165">
        <v>509000</v>
      </c>
      <c r="C211" s="166">
        <v>512000</v>
      </c>
      <c r="D211" s="166">
        <v>31370</v>
      </c>
      <c r="E211" s="166">
        <v>24900</v>
      </c>
      <c r="F211" s="166">
        <v>19100</v>
      </c>
      <c r="G211" s="166">
        <v>15880</v>
      </c>
      <c r="H211" s="166">
        <v>12640</v>
      </c>
      <c r="I211" s="166">
        <v>9400</v>
      </c>
      <c r="J211" s="166">
        <v>7240</v>
      </c>
      <c r="K211" s="166">
        <v>5620</v>
      </c>
      <c r="L211" s="167">
        <v>141500</v>
      </c>
    </row>
    <row r="212" spans="1:12">
      <c r="A212" s="164">
        <v>170</v>
      </c>
      <c r="B212" s="165">
        <v>512000</v>
      </c>
      <c r="C212" s="166">
        <v>515000</v>
      </c>
      <c r="D212" s="166">
        <v>31860</v>
      </c>
      <c r="E212" s="166">
        <v>25390</v>
      </c>
      <c r="F212" s="166">
        <v>19350</v>
      </c>
      <c r="G212" s="166">
        <v>16120</v>
      </c>
      <c r="H212" s="166">
        <v>12890</v>
      </c>
      <c r="I212" s="166">
        <v>9650</v>
      </c>
      <c r="J212" s="166">
        <v>7360</v>
      </c>
      <c r="K212" s="166">
        <v>5740</v>
      </c>
      <c r="L212" s="167">
        <v>143200</v>
      </c>
    </row>
    <row r="213" spans="1:12">
      <c r="A213" s="164"/>
      <c r="B213" s="165"/>
      <c r="C213" s="166"/>
      <c r="D213" s="166"/>
      <c r="E213" s="166"/>
      <c r="F213" s="166"/>
      <c r="G213" s="166"/>
      <c r="H213" s="166"/>
      <c r="I213" s="166"/>
      <c r="J213" s="166"/>
      <c r="K213" s="166"/>
      <c r="L213" s="167"/>
    </row>
    <row r="214" spans="1:12">
      <c r="A214" s="164">
        <v>171</v>
      </c>
      <c r="B214" s="165">
        <v>515000</v>
      </c>
      <c r="C214" s="166">
        <v>518000</v>
      </c>
      <c r="D214" s="166">
        <v>32350</v>
      </c>
      <c r="E214" s="166">
        <v>25880</v>
      </c>
      <c r="F214" s="166">
        <v>19590</v>
      </c>
      <c r="G214" s="166">
        <v>16370</v>
      </c>
      <c r="H214" s="166">
        <v>13130</v>
      </c>
      <c r="I214" s="166">
        <v>9890</v>
      </c>
      <c r="J214" s="166">
        <v>7480</v>
      </c>
      <c r="K214" s="166">
        <v>5860</v>
      </c>
      <c r="L214" s="167">
        <v>145000</v>
      </c>
    </row>
    <row r="215" spans="1:12">
      <c r="A215" s="164">
        <v>172</v>
      </c>
      <c r="B215" s="165">
        <v>518000</v>
      </c>
      <c r="C215" s="166">
        <v>521000</v>
      </c>
      <c r="D215" s="166">
        <v>32840</v>
      </c>
      <c r="E215" s="166">
        <v>26370</v>
      </c>
      <c r="F215" s="166">
        <v>19900</v>
      </c>
      <c r="G215" s="166">
        <v>16610</v>
      </c>
      <c r="H215" s="166">
        <v>13380</v>
      </c>
      <c r="I215" s="166">
        <v>10140</v>
      </c>
      <c r="J215" s="166">
        <v>7610</v>
      </c>
      <c r="K215" s="166">
        <v>5980</v>
      </c>
      <c r="L215" s="167">
        <v>146600</v>
      </c>
    </row>
    <row r="216" spans="1:12">
      <c r="A216" s="164">
        <v>173</v>
      </c>
      <c r="B216" s="165">
        <v>521000</v>
      </c>
      <c r="C216" s="166">
        <v>524000</v>
      </c>
      <c r="D216" s="166">
        <v>33330</v>
      </c>
      <c r="E216" s="166">
        <v>26860</v>
      </c>
      <c r="F216" s="166">
        <v>20390</v>
      </c>
      <c r="G216" s="166">
        <v>16860</v>
      </c>
      <c r="H216" s="166">
        <v>13620</v>
      </c>
      <c r="I216" s="166">
        <v>10380</v>
      </c>
      <c r="J216" s="166">
        <v>7730</v>
      </c>
      <c r="K216" s="166">
        <v>6110</v>
      </c>
      <c r="L216" s="167">
        <v>148400</v>
      </c>
    </row>
    <row r="217" spans="1:12">
      <c r="A217" s="164">
        <v>174</v>
      </c>
      <c r="B217" s="165">
        <v>524000</v>
      </c>
      <c r="C217" s="166">
        <v>527000</v>
      </c>
      <c r="D217" s="166">
        <v>33820</v>
      </c>
      <c r="E217" s="166">
        <v>27350</v>
      </c>
      <c r="F217" s="166">
        <v>20880</v>
      </c>
      <c r="G217" s="166">
        <v>17100</v>
      </c>
      <c r="H217" s="166">
        <v>13870</v>
      </c>
      <c r="I217" s="166">
        <v>10630</v>
      </c>
      <c r="J217" s="166">
        <v>7850</v>
      </c>
      <c r="K217" s="166">
        <v>6230</v>
      </c>
      <c r="L217" s="167">
        <v>150100</v>
      </c>
    </row>
    <row r="218" spans="1:12">
      <c r="A218" s="164">
        <v>175</v>
      </c>
      <c r="B218" s="165">
        <v>527000</v>
      </c>
      <c r="C218" s="166">
        <v>530000</v>
      </c>
      <c r="D218" s="166">
        <v>34310</v>
      </c>
      <c r="E218" s="166">
        <v>27840</v>
      </c>
      <c r="F218" s="166">
        <v>21370</v>
      </c>
      <c r="G218" s="166">
        <v>17350</v>
      </c>
      <c r="H218" s="166">
        <v>14110</v>
      </c>
      <c r="I218" s="166">
        <v>10870</v>
      </c>
      <c r="J218" s="166">
        <v>7970</v>
      </c>
      <c r="K218" s="166">
        <v>6350</v>
      </c>
      <c r="L218" s="167">
        <v>151700</v>
      </c>
    </row>
    <row r="219" spans="1:12">
      <c r="A219" s="164"/>
      <c r="B219" s="165"/>
      <c r="C219" s="166"/>
      <c r="D219" s="166"/>
      <c r="E219" s="166"/>
      <c r="F219" s="166"/>
      <c r="G219" s="166"/>
      <c r="H219" s="166"/>
      <c r="I219" s="166"/>
      <c r="J219" s="166"/>
      <c r="K219" s="166"/>
      <c r="L219" s="167"/>
    </row>
    <row r="220" spans="1:12">
      <c r="A220" s="164">
        <v>176</v>
      </c>
      <c r="B220" s="165">
        <v>530000</v>
      </c>
      <c r="C220" s="166">
        <v>533000</v>
      </c>
      <c r="D220" s="166">
        <v>34800</v>
      </c>
      <c r="E220" s="166">
        <v>28330</v>
      </c>
      <c r="F220" s="166">
        <v>21860</v>
      </c>
      <c r="G220" s="166">
        <v>17590</v>
      </c>
      <c r="H220" s="166">
        <v>14360</v>
      </c>
      <c r="I220" s="166">
        <v>11120</v>
      </c>
      <c r="J220" s="166">
        <v>8100</v>
      </c>
      <c r="K220" s="166">
        <v>6470</v>
      </c>
      <c r="L220" s="167">
        <v>153300</v>
      </c>
    </row>
    <row r="221" spans="1:12">
      <c r="A221" s="164">
        <v>177</v>
      </c>
      <c r="B221" s="165">
        <v>533000</v>
      </c>
      <c r="C221" s="166">
        <v>536000</v>
      </c>
      <c r="D221" s="166">
        <v>35290</v>
      </c>
      <c r="E221" s="166">
        <v>28820</v>
      </c>
      <c r="F221" s="166">
        <v>22350</v>
      </c>
      <c r="G221" s="166">
        <v>17840</v>
      </c>
      <c r="H221" s="166">
        <v>14600</v>
      </c>
      <c r="I221" s="166">
        <v>11360</v>
      </c>
      <c r="J221" s="166">
        <v>8220</v>
      </c>
      <c r="K221" s="166">
        <v>6600</v>
      </c>
      <c r="L221" s="167">
        <v>154900</v>
      </c>
    </row>
    <row r="222" spans="1:12">
      <c r="A222" s="164">
        <v>178</v>
      </c>
      <c r="B222" s="165">
        <v>536000</v>
      </c>
      <c r="C222" s="166">
        <v>539000</v>
      </c>
      <c r="D222" s="166">
        <v>35780</v>
      </c>
      <c r="E222" s="166">
        <v>29310</v>
      </c>
      <c r="F222" s="166">
        <v>22840</v>
      </c>
      <c r="G222" s="166">
        <v>18080</v>
      </c>
      <c r="H222" s="166">
        <v>14850</v>
      </c>
      <c r="I222" s="166">
        <v>11610</v>
      </c>
      <c r="J222" s="166">
        <v>8380</v>
      </c>
      <c r="K222" s="166">
        <v>6720</v>
      </c>
      <c r="L222" s="167">
        <v>156400</v>
      </c>
    </row>
    <row r="223" spans="1:12">
      <c r="A223" s="164">
        <v>179</v>
      </c>
      <c r="B223" s="165">
        <v>539000</v>
      </c>
      <c r="C223" s="166">
        <v>542000</v>
      </c>
      <c r="D223" s="166">
        <v>36270</v>
      </c>
      <c r="E223" s="166">
        <v>29800</v>
      </c>
      <c r="F223" s="166">
        <v>23330</v>
      </c>
      <c r="G223" s="166">
        <v>18330</v>
      </c>
      <c r="H223" s="166">
        <v>15090</v>
      </c>
      <c r="I223" s="166">
        <v>11850</v>
      </c>
      <c r="J223" s="166">
        <v>8630</v>
      </c>
      <c r="K223" s="166">
        <v>6840</v>
      </c>
      <c r="L223" s="167">
        <v>158100</v>
      </c>
    </row>
    <row r="224" spans="1:12">
      <c r="A224" s="164">
        <v>180</v>
      </c>
      <c r="B224" s="165">
        <v>542000</v>
      </c>
      <c r="C224" s="166">
        <v>545000</v>
      </c>
      <c r="D224" s="166">
        <v>36760</v>
      </c>
      <c r="E224" s="166">
        <v>30290</v>
      </c>
      <c r="F224" s="166">
        <v>23820</v>
      </c>
      <c r="G224" s="166">
        <v>18570</v>
      </c>
      <c r="H224" s="166">
        <v>15340</v>
      </c>
      <c r="I224" s="166">
        <v>12100</v>
      </c>
      <c r="J224" s="166">
        <v>8870</v>
      </c>
      <c r="K224" s="166">
        <v>6960</v>
      </c>
      <c r="L224" s="167">
        <v>159600</v>
      </c>
    </row>
    <row r="225" spans="1:12">
      <c r="A225" s="164"/>
      <c r="B225" s="165"/>
      <c r="C225" s="166"/>
      <c r="D225" s="166"/>
      <c r="E225" s="166"/>
      <c r="F225" s="166"/>
      <c r="G225" s="166"/>
      <c r="H225" s="166"/>
      <c r="I225" s="166"/>
      <c r="J225" s="166"/>
      <c r="K225" s="166"/>
      <c r="L225" s="167"/>
    </row>
    <row r="226" spans="1:12">
      <c r="A226" s="164">
        <v>181</v>
      </c>
      <c r="B226" s="165">
        <v>545000</v>
      </c>
      <c r="C226" s="166">
        <v>548000</v>
      </c>
      <c r="D226" s="166">
        <v>37250</v>
      </c>
      <c r="E226" s="166">
        <v>30780</v>
      </c>
      <c r="F226" s="166">
        <v>24310</v>
      </c>
      <c r="G226" s="166">
        <v>18820</v>
      </c>
      <c r="H226" s="166">
        <v>15580</v>
      </c>
      <c r="I226" s="166">
        <v>12340</v>
      </c>
      <c r="J226" s="166">
        <v>9120</v>
      </c>
      <c r="K226" s="166">
        <v>7090</v>
      </c>
      <c r="L226" s="167">
        <v>161200</v>
      </c>
    </row>
    <row r="227" spans="1:12">
      <c r="A227" s="164">
        <v>182</v>
      </c>
      <c r="B227" s="165">
        <v>548000</v>
      </c>
      <c r="C227" s="166">
        <v>551000</v>
      </c>
      <c r="D227" s="166">
        <v>37740</v>
      </c>
      <c r="E227" s="166">
        <v>31270</v>
      </c>
      <c r="F227" s="166">
        <v>24800</v>
      </c>
      <c r="G227" s="166">
        <v>19060</v>
      </c>
      <c r="H227" s="166">
        <v>15830</v>
      </c>
      <c r="I227" s="166">
        <v>12590</v>
      </c>
      <c r="J227" s="166">
        <v>9360</v>
      </c>
      <c r="K227" s="166">
        <v>7210</v>
      </c>
      <c r="L227" s="167">
        <v>162700</v>
      </c>
    </row>
    <row r="228" spans="1:12">
      <c r="A228" s="164">
        <v>183</v>
      </c>
      <c r="B228" s="165">
        <v>551000</v>
      </c>
      <c r="C228" s="166">
        <v>554000</v>
      </c>
      <c r="D228" s="166">
        <v>38280</v>
      </c>
      <c r="E228" s="166">
        <v>31810</v>
      </c>
      <c r="F228" s="166">
        <v>25340</v>
      </c>
      <c r="G228" s="166">
        <v>19330</v>
      </c>
      <c r="H228" s="166">
        <v>16100</v>
      </c>
      <c r="I228" s="166">
        <v>12860</v>
      </c>
      <c r="J228" s="166">
        <v>9630</v>
      </c>
      <c r="K228" s="166">
        <v>7350</v>
      </c>
      <c r="L228" s="167">
        <v>164300</v>
      </c>
    </row>
    <row r="229" spans="1:12">
      <c r="A229" s="164">
        <v>184</v>
      </c>
      <c r="B229" s="165">
        <v>554000</v>
      </c>
      <c r="C229" s="166">
        <v>557000</v>
      </c>
      <c r="D229" s="166">
        <v>38830</v>
      </c>
      <c r="E229" s="166">
        <v>32370</v>
      </c>
      <c r="F229" s="166">
        <v>25890</v>
      </c>
      <c r="G229" s="166">
        <v>19600</v>
      </c>
      <c r="H229" s="166">
        <v>16380</v>
      </c>
      <c r="I229" s="166">
        <v>13140</v>
      </c>
      <c r="J229" s="166">
        <v>9900</v>
      </c>
      <c r="K229" s="166">
        <v>7480</v>
      </c>
      <c r="L229" s="167">
        <v>165900</v>
      </c>
    </row>
    <row r="230" spans="1:12">
      <c r="A230" s="164">
        <v>185</v>
      </c>
      <c r="B230" s="165">
        <v>557000</v>
      </c>
      <c r="C230" s="166">
        <v>560000</v>
      </c>
      <c r="D230" s="166">
        <v>39380</v>
      </c>
      <c r="E230" s="166">
        <v>32920</v>
      </c>
      <c r="F230" s="166">
        <v>26440</v>
      </c>
      <c r="G230" s="166">
        <v>19980</v>
      </c>
      <c r="H230" s="166">
        <v>16650</v>
      </c>
      <c r="I230" s="166">
        <v>13420</v>
      </c>
      <c r="J230" s="166">
        <v>10180</v>
      </c>
      <c r="K230" s="166">
        <v>7630</v>
      </c>
      <c r="L230" s="167">
        <v>167400</v>
      </c>
    </row>
    <row r="231" spans="1:12">
      <c r="A231" s="164"/>
      <c r="B231" s="165"/>
      <c r="C231" s="166"/>
      <c r="D231" s="166"/>
      <c r="E231" s="166"/>
      <c r="F231" s="166"/>
      <c r="G231" s="166"/>
      <c r="H231" s="166"/>
      <c r="I231" s="166"/>
      <c r="J231" s="166"/>
      <c r="K231" s="166"/>
      <c r="L231" s="167"/>
    </row>
    <row r="232" spans="1:12">
      <c r="A232" s="164">
        <v>186</v>
      </c>
      <c r="B232" s="165">
        <v>560000</v>
      </c>
      <c r="C232" s="166">
        <v>563000</v>
      </c>
      <c r="D232" s="166">
        <v>39930</v>
      </c>
      <c r="E232" s="166">
        <v>33470</v>
      </c>
      <c r="F232" s="166">
        <v>27000</v>
      </c>
      <c r="G232" s="166">
        <v>20530</v>
      </c>
      <c r="H232" s="166">
        <v>16930</v>
      </c>
      <c r="I232" s="166">
        <v>13690</v>
      </c>
      <c r="J232" s="166">
        <v>10460</v>
      </c>
      <c r="K232" s="166">
        <v>7760</v>
      </c>
      <c r="L232" s="167">
        <v>169000</v>
      </c>
    </row>
    <row r="233" spans="1:12">
      <c r="A233" s="164">
        <v>187</v>
      </c>
      <c r="B233" s="165">
        <v>563000</v>
      </c>
      <c r="C233" s="166">
        <v>566000</v>
      </c>
      <c r="D233" s="166">
        <v>40480</v>
      </c>
      <c r="E233" s="166">
        <v>34020</v>
      </c>
      <c r="F233" s="166">
        <v>27550</v>
      </c>
      <c r="G233" s="166">
        <v>21080</v>
      </c>
      <c r="H233" s="166">
        <v>17200</v>
      </c>
      <c r="I233" s="166">
        <v>13970</v>
      </c>
      <c r="J233" s="166">
        <v>10730</v>
      </c>
      <c r="K233" s="166">
        <v>7900</v>
      </c>
      <c r="L233" s="167">
        <v>170500</v>
      </c>
    </row>
    <row r="234" spans="1:12">
      <c r="A234" s="164">
        <v>188</v>
      </c>
      <c r="B234" s="165">
        <v>566000</v>
      </c>
      <c r="C234" s="166">
        <v>569000</v>
      </c>
      <c r="D234" s="166">
        <v>41030</v>
      </c>
      <c r="E234" s="166">
        <v>34570</v>
      </c>
      <c r="F234" s="166">
        <v>28100</v>
      </c>
      <c r="G234" s="166">
        <v>21630</v>
      </c>
      <c r="H234" s="166">
        <v>17480</v>
      </c>
      <c r="I234" s="166">
        <v>14240</v>
      </c>
      <c r="J234" s="166">
        <v>11010</v>
      </c>
      <c r="K234" s="166">
        <v>8040</v>
      </c>
      <c r="L234" s="167">
        <v>172000</v>
      </c>
    </row>
    <row r="235" spans="1:12">
      <c r="A235" s="164">
        <v>189</v>
      </c>
      <c r="B235" s="165">
        <v>569000</v>
      </c>
      <c r="C235" s="166">
        <v>572000</v>
      </c>
      <c r="D235" s="166">
        <v>41590</v>
      </c>
      <c r="E235" s="166">
        <v>35120</v>
      </c>
      <c r="F235" s="166">
        <v>28650</v>
      </c>
      <c r="G235" s="166">
        <v>22190</v>
      </c>
      <c r="H235" s="166">
        <v>17760</v>
      </c>
      <c r="I235" s="166">
        <v>14520</v>
      </c>
      <c r="J235" s="166">
        <v>11280</v>
      </c>
      <c r="K235" s="166">
        <v>8180</v>
      </c>
      <c r="L235" s="167">
        <v>173600</v>
      </c>
    </row>
    <row r="236" spans="1:12">
      <c r="A236" s="164">
        <v>190</v>
      </c>
      <c r="B236" s="165">
        <v>572000</v>
      </c>
      <c r="C236" s="166">
        <v>575000</v>
      </c>
      <c r="D236" s="166">
        <v>42140</v>
      </c>
      <c r="E236" s="166">
        <v>35670</v>
      </c>
      <c r="F236" s="166">
        <v>29200</v>
      </c>
      <c r="G236" s="166">
        <v>22740</v>
      </c>
      <c r="H236" s="166">
        <v>18030</v>
      </c>
      <c r="I236" s="166">
        <v>14790</v>
      </c>
      <c r="J236" s="166">
        <v>11560</v>
      </c>
      <c r="K236" s="166">
        <v>8330</v>
      </c>
      <c r="L236" s="167">
        <v>175100</v>
      </c>
    </row>
    <row r="237" spans="1:12">
      <c r="A237" s="164"/>
      <c r="B237" s="165"/>
      <c r="C237" s="166"/>
      <c r="D237" s="166"/>
      <c r="E237" s="166"/>
      <c r="F237" s="166"/>
      <c r="G237" s="166"/>
      <c r="H237" s="166"/>
      <c r="I237" s="166"/>
      <c r="J237" s="166"/>
      <c r="K237" s="166"/>
      <c r="L237" s="167"/>
    </row>
    <row r="238" spans="1:12">
      <c r="A238" s="164">
        <v>191</v>
      </c>
      <c r="B238" s="165">
        <v>575000</v>
      </c>
      <c r="C238" s="166">
        <v>578000</v>
      </c>
      <c r="D238" s="166">
        <v>42690</v>
      </c>
      <c r="E238" s="166">
        <v>36230</v>
      </c>
      <c r="F238" s="166">
        <v>29750</v>
      </c>
      <c r="G238" s="166">
        <v>23290</v>
      </c>
      <c r="H238" s="166">
        <v>18310</v>
      </c>
      <c r="I238" s="166">
        <v>15070</v>
      </c>
      <c r="J238" s="166">
        <v>11830</v>
      </c>
      <c r="K238" s="166">
        <v>8610</v>
      </c>
      <c r="L238" s="167">
        <v>176600</v>
      </c>
    </row>
    <row r="239" spans="1:12">
      <c r="A239" s="164">
        <v>192</v>
      </c>
      <c r="B239" s="165">
        <v>578000</v>
      </c>
      <c r="C239" s="166">
        <v>581000</v>
      </c>
      <c r="D239" s="166">
        <v>43240</v>
      </c>
      <c r="E239" s="166">
        <v>36780</v>
      </c>
      <c r="F239" s="166">
        <v>30300</v>
      </c>
      <c r="G239" s="166">
        <v>23840</v>
      </c>
      <c r="H239" s="166">
        <v>18580</v>
      </c>
      <c r="I239" s="166">
        <v>15350</v>
      </c>
      <c r="J239" s="166">
        <v>12110</v>
      </c>
      <c r="K239" s="166">
        <v>8880</v>
      </c>
      <c r="L239" s="167">
        <v>178200</v>
      </c>
    </row>
    <row r="240" spans="1:12">
      <c r="A240" s="164">
        <v>193</v>
      </c>
      <c r="B240" s="165">
        <v>581000</v>
      </c>
      <c r="C240" s="166">
        <v>584000</v>
      </c>
      <c r="D240" s="166">
        <v>43790</v>
      </c>
      <c r="E240" s="166">
        <v>37330</v>
      </c>
      <c r="F240" s="166">
        <v>30850</v>
      </c>
      <c r="G240" s="166">
        <v>24390</v>
      </c>
      <c r="H240" s="166">
        <v>18860</v>
      </c>
      <c r="I240" s="166">
        <v>15620</v>
      </c>
      <c r="J240" s="166">
        <v>12380</v>
      </c>
      <c r="K240" s="166">
        <v>9160</v>
      </c>
      <c r="L240" s="167">
        <v>179600</v>
      </c>
    </row>
    <row r="241" spans="1:12">
      <c r="A241" s="164">
        <v>194</v>
      </c>
      <c r="B241" s="165">
        <v>584000</v>
      </c>
      <c r="C241" s="166">
        <v>587000</v>
      </c>
      <c r="D241" s="166">
        <v>44340</v>
      </c>
      <c r="E241" s="166">
        <v>37880</v>
      </c>
      <c r="F241" s="166">
        <v>31410</v>
      </c>
      <c r="G241" s="166">
        <v>24940</v>
      </c>
      <c r="H241" s="166">
        <v>19130</v>
      </c>
      <c r="I241" s="166">
        <v>15900</v>
      </c>
      <c r="J241" s="166">
        <v>12660</v>
      </c>
      <c r="K241" s="166">
        <v>9430</v>
      </c>
      <c r="L241" s="167">
        <v>181100</v>
      </c>
    </row>
    <row r="242" spans="1:12">
      <c r="A242" s="164">
        <v>195</v>
      </c>
      <c r="B242" s="165">
        <v>587000</v>
      </c>
      <c r="C242" s="166">
        <v>590000</v>
      </c>
      <c r="D242" s="166">
        <v>44890</v>
      </c>
      <c r="E242" s="166">
        <v>38430</v>
      </c>
      <c r="F242" s="166">
        <v>31960</v>
      </c>
      <c r="G242" s="166">
        <v>25490</v>
      </c>
      <c r="H242" s="166">
        <v>19410</v>
      </c>
      <c r="I242" s="166">
        <v>16170</v>
      </c>
      <c r="J242" s="166">
        <v>12940</v>
      </c>
      <c r="K242" s="166">
        <v>9710</v>
      </c>
      <c r="L242" s="167">
        <v>182700</v>
      </c>
    </row>
    <row r="243" spans="1:12" ht="14.25" thickBot="1">
      <c r="A243" s="164"/>
      <c r="B243" s="168"/>
      <c r="C243" s="169"/>
      <c r="D243" s="169"/>
      <c r="E243" s="169"/>
      <c r="F243" s="169"/>
      <c r="G243" s="169"/>
      <c r="H243" s="169"/>
      <c r="I243" s="169"/>
      <c r="J243" s="169"/>
      <c r="K243" s="169"/>
      <c r="L243" s="170"/>
    </row>
    <row r="244" spans="1:12">
      <c r="A244" s="164">
        <v>196</v>
      </c>
      <c r="B244" s="165">
        <v>590000</v>
      </c>
      <c r="C244" s="166">
        <v>593000</v>
      </c>
      <c r="D244" s="166">
        <v>45440</v>
      </c>
      <c r="E244" s="166">
        <v>38980</v>
      </c>
      <c r="F244" s="166">
        <v>32510</v>
      </c>
      <c r="G244" s="166">
        <v>26050</v>
      </c>
      <c r="H244" s="166">
        <v>19680</v>
      </c>
      <c r="I244" s="166">
        <v>16450</v>
      </c>
      <c r="J244" s="166">
        <v>13210</v>
      </c>
      <c r="K244" s="166">
        <v>9990</v>
      </c>
      <c r="L244" s="167">
        <v>184200</v>
      </c>
    </row>
    <row r="245" spans="1:12">
      <c r="A245" s="164">
        <v>197</v>
      </c>
      <c r="B245" s="165">
        <v>593000</v>
      </c>
      <c r="C245" s="166">
        <v>596000</v>
      </c>
      <c r="D245" s="166">
        <v>46000</v>
      </c>
      <c r="E245" s="166">
        <v>39530</v>
      </c>
      <c r="F245" s="166">
        <v>33060</v>
      </c>
      <c r="G245" s="166">
        <v>26600</v>
      </c>
      <c r="H245" s="166">
        <v>20130</v>
      </c>
      <c r="I245" s="166">
        <v>16720</v>
      </c>
      <c r="J245" s="166">
        <v>13490</v>
      </c>
      <c r="K245" s="166">
        <v>10260</v>
      </c>
      <c r="L245" s="167">
        <v>185700</v>
      </c>
    </row>
    <row r="246" spans="1:12">
      <c r="A246" s="164">
        <v>198</v>
      </c>
      <c r="B246" s="165">
        <v>596000</v>
      </c>
      <c r="C246" s="166">
        <v>599000</v>
      </c>
      <c r="D246" s="166">
        <v>46550</v>
      </c>
      <c r="E246" s="166">
        <v>40080</v>
      </c>
      <c r="F246" s="166">
        <v>33610</v>
      </c>
      <c r="G246" s="166">
        <v>27150</v>
      </c>
      <c r="H246" s="166">
        <v>20690</v>
      </c>
      <c r="I246" s="166">
        <v>17000</v>
      </c>
      <c r="J246" s="166">
        <v>13760</v>
      </c>
      <c r="K246" s="166">
        <v>10540</v>
      </c>
      <c r="L246" s="167">
        <v>187300</v>
      </c>
    </row>
    <row r="247" spans="1:12">
      <c r="A247" s="164">
        <v>199</v>
      </c>
      <c r="B247" s="165">
        <v>599000</v>
      </c>
      <c r="C247" s="166">
        <v>602000</v>
      </c>
      <c r="D247" s="166">
        <v>47100</v>
      </c>
      <c r="E247" s="166">
        <v>40640</v>
      </c>
      <c r="F247" s="166">
        <v>34160</v>
      </c>
      <c r="G247" s="166">
        <v>27700</v>
      </c>
      <c r="H247" s="166">
        <v>21240</v>
      </c>
      <c r="I247" s="166">
        <v>17280</v>
      </c>
      <c r="J247" s="166">
        <v>14040</v>
      </c>
      <c r="K247" s="166">
        <v>10810</v>
      </c>
      <c r="L247" s="167">
        <v>188800</v>
      </c>
    </row>
    <row r="248" spans="1:12">
      <c r="A248" s="164">
        <v>200</v>
      </c>
      <c r="B248" s="165">
        <v>602000</v>
      </c>
      <c r="C248" s="166">
        <v>605000</v>
      </c>
      <c r="D248" s="166">
        <v>47650</v>
      </c>
      <c r="E248" s="166">
        <v>41190</v>
      </c>
      <c r="F248" s="166">
        <v>34710</v>
      </c>
      <c r="G248" s="166">
        <v>28250</v>
      </c>
      <c r="H248" s="166">
        <v>21790</v>
      </c>
      <c r="I248" s="166">
        <v>17550</v>
      </c>
      <c r="J248" s="166">
        <v>14310</v>
      </c>
      <c r="K248" s="166">
        <v>11090</v>
      </c>
      <c r="L248" s="167">
        <v>190300</v>
      </c>
    </row>
    <row r="249" spans="1:12">
      <c r="A249" s="164"/>
      <c r="B249" s="165"/>
      <c r="C249" s="166"/>
      <c r="D249" s="166"/>
      <c r="E249" s="166"/>
      <c r="F249" s="166"/>
      <c r="G249" s="166"/>
      <c r="H249" s="166"/>
      <c r="I249" s="166"/>
      <c r="J249" s="166"/>
      <c r="K249" s="166"/>
      <c r="L249" s="167"/>
    </row>
    <row r="250" spans="1:12">
      <c r="A250" s="164">
        <v>201</v>
      </c>
      <c r="B250" s="165">
        <v>605000</v>
      </c>
      <c r="C250" s="166">
        <v>608000</v>
      </c>
      <c r="D250" s="166">
        <v>48200</v>
      </c>
      <c r="E250" s="166">
        <v>41740</v>
      </c>
      <c r="F250" s="166">
        <v>35270</v>
      </c>
      <c r="G250" s="166">
        <v>28800</v>
      </c>
      <c r="H250" s="166">
        <v>22340</v>
      </c>
      <c r="I250" s="166">
        <v>17830</v>
      </c>
      <c r="J250" s="166">
        <v>14590</v>
      </c>
      <c r="K250" s="166">
        <v>11360</v>
      </c>
      <c r="L250" s="167">
        <v>191800</v>
      </c>
    </row>
    <row r="251" spans="1:12">
      <c r="A251" s="164">
        <v>202</v>
      </c>
      <c r="B251" s="165">
        <v>608000</v>
      </c>
      <c r="C251" s="166">
        <v>611000</v>
      </c>
      <c r="D251" s="166">
        <v>48750</v>
      </c>
      <c r="E251" s="166">
        <v>42290</v>
      </c>
      <c r="F251" s="166">
        <v>35820</v>
      </c>
      <c r="G251" s="166">
        <v>29350</v>
      </c>
      <c r="H251" s="166">
        <v>22890</v>
      </c>
      <c r="I251" s="166">
        <v>18100</v>
      </c>
      <c r="J251" s="166">
        <v>14870</v>
      </c>
      <c r="K251" s="166">
        <v>11640</v>
      </c>
      <c r="L251" s="167">
        <v>193400</v>
      </c>
    </row>
    <row r="252" spans="1:12">
      <c r="A252" s="164">
        <v>203</v>
      </c>
      <c r="B252" s="165">
        <v>611000</v>
      </c>
      <c r="C252" s="166">
        <v>614000</v>
      </c>
      <c r="D252" s="166">
        <v>49300</v>
      </c>
      <c r="E252" s="166">
        <v>42840</v>
      </c>
      <c r="F252" s="166">
        <v>36370</v>
      </c>
      <c r="G252" s="166">
        <v>29910</v>
      </c>
      <c r="H252" s="166">
        <v>23440</v>
      </c>
      <c r="I252" s="166">
        <v>18380</v>
      </c>
      <c r="J252" s="166">
        <v>15140</v>
      </c>
      <c r="K252" s="166">
        <v>11920</v>
      </c>
      <c r="L252" s="167">
        <v>194900</v>
      </c>
    </row>
    <row r="253" spans="1:12">
      <c r="A253" s="164">
        <v>204</v>
      </c>
      <c r="B253" s="165">
        <v>614000</v>
      </c>
      <c r="C253" s="166">
        <v>617000</v>
      </c>
      <c r="D253" s="166">
        <v>49860</v>
      </c>
      <c r="E253" s="166">
        <v>43390</v>
      </c>
      <c r="F253" s="166">
        <v>36920</v>
      </c>
      <c r="G253" s="166">
        <v>30460</v>
      </c>
      <c r="H253" s="166">
        <v>23990</v>
      </c>
      <c r="I253" s="166">
        <v>18650</v>
      </c>
      <c r="J253" s="166">
        <v>15420</v>
      </c>
      <c r="K253" s="166">
        <v>12190</v>
      </c>
      <c r="L253" s="167">
        <v>196400</v>
      </c>
    </row>
    <row r="254" spans="1:12">
      <c r="A254" s="164">
        <v>205</v>
      </c>
      <c r="B254" s="165">
        <v>617000</v>
      </c>
      <c r="C254" s="166">
        <v>620000</v>
      </c>
      <c r="D254" s="166">
        <v>50410</v>
      </c>
      <c r="E254" s="166">
        <v>43940</v>
      </c>
      <c r="F254" s="166">
        <v>37470</v>
      </c>
      <c r="G254" s="166">
        <v>31010</v>
      </c>
      <c r="H254" s="166">
        <v>24540</v>
      </c>
      <c r="I254" s="166">
        <v>18930</v>
      </c>
      <c r="J254" s="166">
        <v>15690</v>
      </c>
      <c r="K254" s="166">
        <v>12470</v>
      </c>
      <c r="L254" s="167">
        <v>197900</v>
      </c>
    </row>
    <row r="255" spans="1:12">
      <c r="A255" s="164"/>
      <c r="B255" s="165"/>
      <c r="C255" s="166"/>
      <c r="D255" s="166"/>
      <c r="E255" s="166"/>
      <c r="F255" s="166"/>
      <c r="G255" s="166"/>
      <c r="H255" s="166"/>
      <c r="I255" s="166"/>
      <c r="J255" s="166"/>
      <c r="K255" s="166"/>
      <c r="L255" s="167"/>
    </row>
    <row r="256" spans="1:12">
      <c r="A256" s="164">
        <v>206</v>
      </c>
      <c r="B256" s="165">
        <v>620000</v>
      </c>
      <c r="C256" s="166">
        <v>623000</v>
      </c>
      <c r="D256" s="166">
        <v>50960</v>
      </c>
      <c r="E256" s="166">
        <v>44500</v>
      </c>
      <c r="F256" s="166">
        <v>38020</v>
      </c>
      <c r="G256" s="166">
        <v>31560</v>
      </c>
      <c r="H256" s="166">
        <v>25100</v>
      </c>
      <c r="I256" s="166">
        <v>19210</v>
      </c>
      <c r="J256" s="166">
        <v>15970</v>
      </c>
      <c r="K256" s="166">
        <v>12740</v>
      </c>
      <c r="L256" s="167">
        <v>199400</v>
      </c>
    </row>
    <row r="257" spans="1:12">
      <c r="A257" s="164">
        <v>207</v>
      </c>
      <c r="B257" s="165">
        <v>623000</v>
      </c>
      <c r="C257" s="166">
        <v>626000</v>
      </c>
      <c r="D257" s="166">
        <v>51510</v>
      </c>
      <c r="E257" s="166">
        <v>45050</v>
      </c>
      <c r="F257" s="166">
        <v>38570</v>
      </c>
      <c r="G257" s="166">
        <v>32110</v>
      </c>
      <c r="H257" s="166">
        <v>25650</v>
      </c>
      <c r="I257" s="166">
        <v>19480</v>
      </c>
      <c r="J257" s="166">
        <v>16240</v>
      </c>
      <c r="K257" s="166">
        <v>13020</v>
      </c>
      <c r="L257" s="167">
        <v>200900</v>
      </c>
    </row>
    <row r="258" spans="1:12">
      <c r="A258" s="164">
        <v>208</v>
      </c>
      <c r="B258" s="165">
        <v>626000</v>
      </c>
      <c r="C258" s="166">
        <v>629000</v>
      </c>
      <c r="D258" s="166">
        <v>52060</v>
      </c>
      <c r="E258" s="166">
        <v>45600</v>
      </c>
      <c r="F258" s="166">
        <v>39120</v>
      </c>
      <c r="G258" s="166">
        <v>32660</v>
      </c>
      <c r="H258" s="166">
        <v>26200</v>
      </c>
      <c r="I258" s="166">
        <v>19760</v>
      </c>
      <c r="J258" s="166">
        <v>16520</v>
      </c>
      <c r="K258" s="166">
        <v>13290</v>
      </c>
      <c r="L258" s="167">
        <v>202500</v>
      </c>
    </row>
    <row r="259" spans="1:12">
      <c r="A259" s="164">
        <v>209</v>
      </c>
      <c r="B259" s="165">
        <v>629000</v>
      </c>
      <c r="C259" s="166">
        <v>632000</v>
      </c>
      <c r="D259" s="166">
        <v>52610</v>
      </c>
      <c r="E259" s="166">
        <v>46150</v>
      </c>
      <c r="F259" s="166">
        <v>39680</v>
      </c>
      <c r="G259" s="166">
        <v>33210</v>
      </c>
      <c r="H259" s="166">
        <v>26750</v>
      </c>
      <c r="I259" s="166">
        <v>20280</v>
      </c>
      <c r="J259" s="166">
        <v>16800</v>
      </c>
      <c r="K259" s="166">
        <v>13570</v>
      </c>
      <c r="L259" s="167">
        <v>204000</v>
      </c>
    </row>
    <row r="260" spans="1:12">
      <c r="A260" s="164">
        <v>210</v>
      </c>
      <c r="B260" s="165">
        <v>632000</v>
      </c>
      <c r="C260" s="166">
        <v>635000</v>
      </c>
      <c r="D260" s="166">
        <v>53160</v>
      </c>
      <c r="E260" s="166">
        <v>46700</v>
      </c>
      <c r="F260" s="166">
        <v>40230</v>
      </c>
      <c r="G260" s="166">
        <v>33760</v>
      </c>
      <c r="H260" s="166">
        <v>27300</v>
      </c>
      <c r="I260" s="166">
        <v>20830</v>
      </c>
      <c r="J260" s="166">
        <v>17070</v>
      </c>
      <c r="K260" s="166">
        <v>13840</v>
      </c>
      <c r="L260" s="167">
        <v>205500</v>
      </c>
    </row>
    <row r="261" spans="1:12">
      <c r="A261" s="164"/>
      <c r="B261" s="165"/>
      <c r="C261" s="166"/>
      <c r="D261" s="166"/>
      <c r="E261" s="166"/>
      <c r="F261" s="166"/>
      <c r="G261" s="166"/>
      <c r="H261" s="166"/>
      <c r="I261" s="166"/>
      <c r="J261" s="166"/>
      <c r="K261" s="166"/>
      <c r="L261" s="167"/>
    </row>
    <row r="262" spans="1:12">
      <c r="A262" s="164">
        <v>211</v>
      </c>
      <c r="B262" s="165">
        <v>635000</v>
      </c>
      <c r="C262" s="166">
        <v>638000</v>
      </c>
      <c r="D262" s="166">
        <v>53710</v>
      </c>
      <c r="E262" s="166">
        <v>47250</v>
      </c>
      <c r="F262" s="166">
        <v>40780</v>
      </c>
      <c r="G262" s="166">
        <v>34320</v>
      </c>
      <c r="H262" s="166">
        <v>27850</v>
      </c>
      <c r="I262" s="166">
        <v>21380</v>
      </c>
      <c r="J262" s="166">
        <v>17350</v>
      </c>
      <c r="K262" s="166">
        <v>14120</v>
      </c>
      <c r="L262" s="167">
        <v>207100</v>
      </c>
    </row>
    <row r="263" spans="1:12">
      <c r="A263" s="164">
        <v>212</v>
      </c>
      <c r="B263" s="165">
        <v>638000</v>
      </c>
      <c r="C263" s="166">
        <v>641000</v>
      </c>
      <c r="D263" s="166">
        <v>54270</v>
      </c>
      <c r="E263" s="166">
        <v>47800</v>
      </c>
      <c r="F263" s="166">
        <v>41330</v>
      </c>
      <c r="G263" s="166">
        <v>34870</v>
      </c>
      <c r="H263" s="166">
        <v>28400</v>
      </c>
      <c r="I263" s="166">
        <v>21930</v>
      </c>
      <c r="J263" s="166">
        <v>17620</v>
      </c>
      <c r="K263" s="166">
        <v>14400</v>
      </c>
      <c r="L263" s="167">
        <v>208600</v>
      </c>
    </row>
    <row r="264" spans="1:12">
      <c r="A264" s="164">
        <v>213</v>
      </c>
      <c r="B264" s="165">
        <v>641000</v>
      </c>
      <c r="C264" s="166">
        <v>644000</v>
      </c>
      <c r="D264" s="166">
        <v>54820</v>
      </c>
      <c r="E264" s="166">
        <v>48350</v>
      </c>
      <c r="F264" s="166">
        <v>41880</v>
      </c>
      <c r="G264" s="166">
        <v>35420</v>
      </c>
      <c r="H264" s="166">
        <v>28960</v>
      </c>
      <c r="I264" s="166">
        <v>22480</v>
      </c>
      <c r="J264" s="166">
        <v>17900</v>
      </c>
      <c r="K264" s="166">
        <v>14670</v>
      </c>
      <c r="L264" s="167">
        <v>210100</v>
      </c>
    </row>
    <row r="265" spans="1:12">
      <c r="A265" s="164">
        <v>214</v>
      </c>
      <c r="B265" s="165">
        <v>644000</v>
      </c>
      <c r="C265" s="166">
        <v>647000</v>
      </c>
      <c r="D265" s="166">
        <v>55370</v>
      </c>
      <c r="E265" s="166">
        <v>48910</v>
      </c>
      <c r="F265" s="166">
        <v>42430</v>
      </c>
      <c r="G265" s="166">
        <v>35970</v>
      </c>
      <c r="H265" s="166">
        <v>29510</v>
      </c>
      <c r="I265" s="166">
        <v>23030</v>
      </c>
      <c r="J265" s="166">
        <v>18170</v>
      </c>
      <c r="K265" s="166">
        <v>14950</v>
      </c>
      <c r="L265" s="167">
        <v>211700</v>
      </c>
    </row>
    <row r="266" spans="1:12">
      <c r="A266" s="164">
        <v>215</v>
      </c>
      <c r="B266" s="165">
        <v>647000</v>
      </c>
      <c r="C266" s="166">
        <v>650000</v>
      </c>
      <c r="D266" s="166">
        <v>55920</v>
      </c>
      <c r="E266" s="166">
        <v>49460</v>
      </c>
      <c r="F266" s="166">
        <v>42980</v>
      </c>
      <c r="G266" s="166">
        <v>36520</v>
      </c>
      <c r="H266" s="166">
        <v>30060</v>
      </c>
      <c r="I266" s="166">
        <v>23590</v>
      </c>
      <c r="J266" s="166">
        <v>18450</v>
      </c>
      <c r="K266" s="166">
        <v>15220</v>
      </c>
      <c r="L266" s="167">
        <v>213200</v>
      </c>
    </row>
    <row r="267" spans="1:12">
      <c r="A267" s="164"/>
      <c r="B267" s="165"/>
      <c r="C267" s="166"/>
      <c r="D267" s="166"/>
      <c r="E267" s="166"/>
      <c r="F267" s="166"/>
      <c r="G267" s="166"/>
      <c r="H267" s="166"/>
      <c r="I267" s="166"/>
      <c r="J267" s="166"/>
      <c r="K267" s="166"/>
      <c r="L267" s="167"/>
    </row>
    <row r="268" spans="1:12">
      <c r="A268" s="164">
        <v>216</v>
      </c>
      <c r="B268" s="165">
        <v>650000</v>
      </c>
      <c r="C268" s="166">
        <v>653000</v>
      </c>
      <c r="D268" s="166">
        <v>56470</v>
      </c>
      <c r="E268" s="166">
        <v>50010</v>
      </c>
      <c r="F268" s="166">
        <v>43540</v>
      </c>
      <c r="G268" s="166">
        <v>37070</v>
      </c>
      <c r="H268" s="166">
        <v>30610</v>
      </c>
      <c r="I268" s="166">
        <v>24140</v>
      </c>
      <c r="J268" s="166">
        <v>18730</v>
      </c>
      <c r="K268" s="166">
        <v>15500</v>
      </c>
      <c r="L268" s="167">
        <v>214400</v>
      </c>
    </row>
    <row r="269" spans="1:12">
      <c r="A269" s="164">
        <v>217</v>
      </c>
      <c r="B269" s="165">
        <v>653000</v>
      </c>
      <c r="C269" s="166">
        <v>656000</v>
      </c>
      <c r="D269" s="166">
        <v>57020</v>
      </c>
      <c r="E269" s="166">
        <v>50560</v>
      </c>
      <c r="F269" s="166">
        <v>44090</v>
      </c>
      <c r="G269" s="166">
        <v>37620</v>
      </c>
      <c r="H269" s="166">
        <v>31160</v>
      </c>
      <c r="I269" s="166">
        <v>24690</v>
      </c>
      <c r="J269" s="166">
        <v>19000</v>
      </c>
      <c r="K269" s="166">
        <v>15770</v>
      </c>
      <c r="L269" s="167">
        <v>215400</v>
      </c>
    </row>
    <row r="270" spans="1:12">
      <c r="A270" s="164">
        <v>218</v>
      </c>
      <c r="B270" s="165">
        <v>656000</v>
      </c>
      <c r="C270" s="166">
        <v>659000</v>
      </c>
      <c r="D270" s="166">
        <v>57570</v>
      </c>
      <c r="E270" s="166">
        <v>51110</v>
      </c>
      <c r="F270" s="166">
        <v>44640</v>
      </c>
      <c r="G270" s="166">
        <v>38180</v>
      </c>
      <c r="H270" s="166">
        <v>31710</v>
      </c>
      <c r="I270" s="166">
        <v>25240</v>
      </c>
      <c r="J270" s="166">
        <v>19280</v>
      </c>
      <c r="K270" s="166">
        <v>16050</v>
      </c>
      <c r="L270" s="167">
        <v>216600</v>
      </c>
    </row>
    <row r="271" spans="1:12">
      <c r="A271" s="164">
        <v>219</v>
      </c>
      <c r="B271" s="165">
        <v>659000</v>
      </c>
      <c r="C271" s="166">
        <v>662000</v>
      </c>
      <c r="D271" s="166">
        <v>58130</v>
      </c>
      <c r="E271" s="166">
        <v>51660</v>
      </c>
      <c r="F271" s="166">
        <v>45190</v>
      </c>
      <c r="G271" s="166">
        <v>38730</v>
      </c>
      <c r="H271" s="166">
        <v>32260</v>
      </c>
      <c r="I271" s="166">
        <v>25790</v>
      </c>
      <c r="J271" s="166">
        <v>19550</v>
      </c>
      <c r="K271" s="166">
        <v>16330</v>
      </c>
      <c r="L271" s="167">
        <v>217700</v>
      </c>
    </row>
    <row r="272" spans="1:12">
      <c r="A272" s="164">
        <v>220</v>
      </c>
      <c r="B272" s="165">
        <v>662000</v>
      </c>
      <c r="C272" s="166">
        <v>665000</v>
      </c>
      <c r="D272" s="166">
        <v>58680</v>
      </c>
      <c r="E272" s="166">
        <v>52210</v>
      </c>
      <c r="F272" s="166">
        <v>45740</v>
      </c>
      <c r="G272" s="166">
        <v>39280</v>
      </c>
      <c r="H272" s="166">
        <v>32810</v>
      </c>
      <c r="I272" s="166">
        <v>26340</v>
      </c>
      <c r="J272" s="166">
        <v>19880</v>
      </c>
      <c r="K272" s="166">
        <v>16600</v>
      </c>
      <c r="L272" s="167">
        <v>218700</v>
      </c>
    </row>
    <row r="273" spans="1:12">
      <c r="A273" s="164"/>
      <c r="B273" s="165"/>
      <c r="C273" s="166"/>
      <c r="D273" s="166"/>
      <c r="E273" s="166"/>
      <c r="F273" s="166"/>
      <c r="G273" s="166"/>
      <c r="H273" s="166"/>
      <c r="I273" s="166"/>
      <c r="J273" s="166"/>
      <c r="K273" s="166"/>
      <c r="L273" s="167"/>
    </row>
    <row r="274" spans="1:12">
      <c r="A274" s="164">
        <v>221</v>
      </c>
      <c r="B274" s="165">
        <v>665000</v>
      </c>
      <c r="C274" s="166">
        <v>668000</v>
      </c>
      <c r="D274" s="166">
        <v>59230</v>
      </c>
      <c r="E274" s="166">
        <v>52770</v>
      </c>
      <c r="F274" s="166">
        <v>46290</v>
      </c>
      <c r="G274" s="166">
        <v>39830</v>
      </c>
      <c r="H274" s="166">
        <v>33370</v>
      </c>
      <c r="I274" s="166">
        <v>26890</v>
      </c>
      <c r="J274" s="166">
        <v>20430</v>
      </c>
      <c r="K274" s="166">
        <v>16880</v>
      </c>
      <c r="L274" s="167">
        <v>219800</v>
      </c>
    </row>
    <row r="275" spans="1:12">
      <c r="A275" s="164">
        <v>222</v>
      </c>
      <c r="B275" s="165">
        <v>668000</v>
      </c>
      <c r="C275" s="166">
        <v>671000</v>
      </c>
      <c r="D275" s="166">
        <v>59780</v>
      </c>
      <c r="E275" s="166">
        <v>53320</v>
      </c>
      <c r="F275" s="166">
        <v>46840</v>
      </c>
      <c r="G275" s="166">
        <v>40380</v>
      </c>
      <c r="H275" s="166">
        <v>33920</v>
      </c>
      <c r="I275" s="166">
        <v>27440</v>
      </c>
      <c r="J275" s="166">
        <v>20980</v>
      </c>
      <c r="K275" s="166">
        <v>17150</v>
      </c>
      <c r="L275" s="167">
        <v>220800</v>
      </c>
    </row>
    <row r="276" spans="1:12">
      <c r="A276" s="164">
        <v>223</v>
      </c>
      <c r="B276" s="165">
        <v>671000</v>
      </c>
      <c r="C276" s="166">
        <v>674000</v>
      </c>
      <c r="D276" s="166">
        <v>60330</v>
      </c>
      <c r="E276" s="166">
        <v>53870</v>
      </c>
      <c r="F276" s="166">
        <v>47390</v>
      </c>
      <c r="G276" s="166">
        <v>40930</v>
      </c>
      <c r="H276" s="166">
        <v>34470</v>
      </c>
      <c r="I276" s="166">
        <v>28000</v>
      </c>
      <c r="J276" s="166">
        <v>21530</v>
      </c>
      <c r="K276" s="166">
        <v>17430</v>
      </c>
      <c r="L276" s="167">
        <v>222000</v>
      </c>
    </row>
    <row r="277" spans="1:12">
      <c r="A277" s="164">
        <v>224</v>
      </c>
      <c r="B277" s="165">
        <v>674000</v>
      </c>
      <c r="C277" s="166">
        <v>677000</v>
      </c>
      <c r="D277" s="166">
        <v>60880</v>
      </c>
      <c r="E277" s="166">
        <v>54420</v>
      </c>
      <c r="F277" s="166">
        <v>47950</v>
      </c>
      <c r="G277" s="166">
        <v>41480</v>
      </c>
      <c r="H277" s="166">
        <v>35020</v>
      </c>
      <c r="I277" s="166">
        <v>28550</v>
      </c>
      <c r="J277" s="166">
        <v>22080</v>
      </c>
      <c r="K277" s="166">
        <v>17700</v>
      </c>
      <c r="L277" s="167">
        <v>223100</v>
      </c>
    </row>
    <row r="278" spans="1:12">
      <c r="A278" s="164">
        <v>225</v>
      </c>
      <c r="B278" s="165">
        <v>677000</v>
      </c>
      <c r="C278" s="166">
        <v>680000</v>
      </c>
      <c r="D278" s="166">
        <v>61430</v>
      </c>
      <c r="E278" s="166">
        <v>54970</v>
      </c>
      <c r="F278" s="166">
        <v>48500</v>
      </c>
      <c r="G278" s="166">
        <v>42030</v>
      </c>
      <c r="H278" s="166">
        <v>35570</v>
      </c>
      <c r="I278" s="166">
        <v>29100</v>
      </c>
      <c r="J278" s="166">
        <v>22640</v>
      </c>
      <c r="K278" s="166">
        <v>17980</v>
      </c>
      <c r="L278" s="167">
        <v>224100</v>
      </c>
    </row>
    <row r="279" spans="1:12">
      <c r="A279" s="164"/>
      <c r="B279" s="165"/>
      <c r="C279" s="166"/>
      <c r="D279" s="166"/>
      <c r="E279" s="166"/>
      <c r="F279" s="166"/>
      <c r="G279" s="166"/>
      <c r="H279" s="166"/>
      <c r="I279" s="166"/>
      <c r="J279" s="166"/>
      <c r="K279" s="166"/>
      <c r="L279" s="167"/>
    </row>
    <row r="280" spans="1:12">
      <c r="A280" s="164">
        <v>226</v>
      </c>
      <c r="B280" s="165">
        <v>680000</v>
      </c>
      <c r="C280" s="166">
        <v>683000</v>
      </c>
      <c r="D280" s="166">
        <v>61980</v>
      </c>
      <c r="E280" s="166">
        <v>55520</v>
      </c>
      <c r="F280" s="166">
        <v>49050</v>
      </c>
      <c r="G280" s="166">
        <v>42590</v>
      </c>
      <c r="H280" s="166">
        <v>36120</v>
      </c>
      <c r="I280" s="166">
        <v>29650</v>
      </c>
      <c r="J280" s="166">
        <v>23190</v>
      </c>
      <c r="K280" s="166">
        <v>18260</v>
      </c>
      <c r="L280" s="167">
        <v>225200</v>
      </c>
    </row>
    <row r="281" spans="1:12">
      <c r="A281" s="164">
        <v>227</v>
      </c>
      <c r="B281" s="165">
        <v>683000</v>
      </c>
      <c r="C281" s="166">
        <v>686000</v>
      </c>
      <c r="D281" s="166">
        <v>62540</v>
      </c>
      <c r="E281" s="166">
        <v>56070</v>
      </c>
      <c r="F281" s="166">
        <v>49600</v>
      </c>
      <c r="G281" s="166">
        <v>43140</v>
      </c>
      <c r="H281" s="166">
        <v>36670</v>
      </c>
      <c r="I281" s="166">
        <v>30200</v>
      </c>
      <c r="J281" s="166">
        <v>23740</v>
      </c>
      <c r="K281" s="166">
        <v>18530</v>
      </c>
      <c r="L281" s="167">
        <v>226400</v>
      </c>
    </row>
    <row r="282" spans="1:12">
      <c r="A282" s="164">
        <v>228</v>
      </c>
      <c r="B282" s="165">
        <v>686000</v>
      </c>
      <c r="C282" s="166">
        <v>689000</v>
      </c>
      <c r="D282" s="166">
        <v>63090</v>
      </c>
      <c r="E282" s="166">
        <v>56620</v>
      </c>
      <c r="F282" s="166">
        <v>50150</v>
      </c>
      <c r="G282" s="166">
        <v>43690</v>
      </c>
      <c r="H282" s="166">
        <v>37230</v>
      </c>
      <c r="I282" s="166">
        <v>30750</v>
      </c>
      <c r="J282" s="166">
        <v>24290</v>
      </c>
      <c r="K282" s="166">
        <v>18810</v>
      </c>
      <c r="L282" s="167">
        <v>227400</v>
      </c>
    </row>
    <row r="283" spans="1:12">
      <c r="A283" s="164">
        <v>229</v>
      </c>
      <c r="B283" s="165">
        <v>689000</v>
      </c>
      <c r="C283" s="166">
        <v>692000</v>
      </c>
      <c r="D283" s="166">
        <v>63640</v>
      </c>
      <c r="E283" s="166">
        <v>57180</v>
      </c>
      <c r="F283" s="166">
        <v>50700</v>
      </c>
      <c r="G283" s="166">
        <v>44240</v>
      </c>
      <c r="H283" s="166">
        <v>37780</v>
      </c>
      <c r="I283" s="166">
        <v>31300</v>
      </c>
      <c r="J283" s="166">
        <v>24840</v>
      </c>
      <c r="K283" s="166">
        <v>19080</v>
      </c>
      <c r="L283" s="167">
        <v>228500</v>
      </c>
    </row>
    <row r="284" spans="1:12">
      <c r="A284" s="164">
        <v>230</v>
      </c>
      <c r="B284" s="165">
        <v>692000</v>
      </c>
      <c r="C284" s="166">
        <v>695000</v>
      </c>
      <c r="D284" s="166">
        <v>64190</v>
      </c>
      <c r="E284" s="166">
        <v>57730</v>
      </c>
      <c r="F284" s="166">
        <v>51250</v>
      </c>
      <c r="G284" s="166">
        <v>44790</v>
      </c>
      <c r="H284" s="166">
        <v>38330</v>
      </c>
      <c r="I284" s="166">
        <v>31860</v>
      </c>
      <c r="J284" s="166">
        <v>25390</v>
      </c>
      <c r="K284" s="166">
        <v>19360</v>
      </c>
      <c r="L284" s="167">
        <v>229600</v>
      </c>
    </row>
    <row r="285" spans="1:12">
      <c r="A285" s="164"/>
      <c r="B285" s="165"/>
      <c r="C285" s="166"/>
      <c r="D285" s="166"/>
      <c r="E285" s="166"/>
      <c r="F285" s="166"/>
      <c r="G285" s="166"/>
      <c r="H285" s="166"/>
      <c r="I285" s="166"/>
      <c r="J285" s="166"/>
      <c r="K285" s="166"/>
      <c r="L285" s="167"/>
    </row>
    <row r="286" spans="1:12">
      <c r="A286" s="164">
        <v>231</v>
      </c>
      <c r="B286" s="165">
        <v>695000</v>
      </c>
      <c r="C286" s="166">
        <v>698000</v>
      </c>
      <c r="D286" s="166">
        <v>64740</v>
      </c>
      <c r="E286" s="166">
        <v>58280</v>
      </c>
      <c r="F286" s="166">
        <v>51810</v>
      </c>
      <c r="G286" s="166">
        <v>45340</v>
      </c>
      <c r="H286" s="166">
        <v>38880</v>
      </c>
      <c r="I286" s="166">
        <v>32410</v>
      </c>
      <c r="J286" s="166">
        <v>25940</v>
      </c>
      <c r="K286" s="166">
        <v>19630</v>
      </c>
      <c r="L286" s="167">
        <v>230700</v>
      </c>
    </row>
    <row r="287" spans="1:12">
      <c r="A287" s="164">
        <v>232</v>
      </c>
      <c r="B287" s="165">
        <v>698000</v>
      </c>
      <c r="C287" s="166">
        <v>701000</v>
      </c>
      <c r="D287" s="166">
        <v>65290</v>
      </c>
      <c r="E287" s="166">
        <v>58830</v>
      </c>
      <c r="F287" s="166">
        <v>52360</v>
      </c>
      <c r="G287" s="166">
        <v>45890</v>
      </c>
      <c r="H287" s="166">
        <v>39430</v>
      </c>
      <c r="I287" s="166">
        <v>32960</v>
      </c>
      <c r="J287" s="166">
        <v>26490</v>
      </c>
      <c r="K287" s="166">
        <v>20030</v>
      </c>
      <c r="L287" s="167">
        <v>232400</v>
      </c>
    </row>
    <row r="288" spans="1:12">
      <c r="A288" s="164">
        <v>233</v>
      </c>
      <c r="B288" s="165">
        <v>701000</v>
      </c>
      <c r="C288" s="166">
        <v>704000</v>
      </c>
      <c r="D288" s="166">
        <v>65840</v>
      </c>
      <c r="E288" s="166">
        <v>59380</v>
      </c>
      <c r="F288" s="166">
        <v>52910</v>
      </c>
      <c r="G288" s="166">
        <v>46450</v>
      </c>
      <c r="H288" s="166">
        <v>39980</v>
      </c>
      <c r="I288" s="166">
        <v>33510</v>
      </c>
      <c r="J288" s="166">
        <v>27050</v>
      </c>
      <c r="K288" s="166">
        <v>20580</v>
      </c>
      <c r="L288" s="167">
        <v>234000</v>
      </c>
    </row>
    <row r="289" spans="1:12">
      <c r="A289" s="164">
        <v>234</v>
      </c>
      <c r="B289" s="165">
        <v>704000</v>
      </c>
      <c r="C289" s="166">
        <v>707000</v>
      </c>
      <c r="D289" s="166">
        <v>66400</v>
      </c>
      <c r="E289" s="166">
        <v>59930</v>
      </c>
      <c r="F289" s="166">
        <v>53460</v>
      </c>
      <c r="G289" s="166">
        <v>47000</v>
      </c>
      <c r="H289" s="166">
        <v>40530</v>
      </c>
      <c r="I289" s="166">
        <v>34060</v>
      </c>
      <c r="J289" s="166">
        <v>27600</v>
      </c>
      <c r="K289" s="166">
        <v>21130</v>
      </c>
      <c r="L289" s="167">
        <v>235600</v>
      </c>
    </row>
    <row r="290" spans="1:12">
      <c r="A290" s="164">
        <v>235</v>
      </c>
      <c r="B290" s="165">
        <v>707000</v>
      </c>
      <c r="C290" s="166">
        <v>710000</v>
      </c>
      <c r="D290" s="166">
        <v>66950</v>
      </c>
      <c r="E290" s="166">
        <v>60480</v>
      </c>
      <c r="F290" s="166">
        <v>54010</v>
      </c>
      <c r="G290" s="166">
        <v>47550</v>
      </c>
      <c r="H290" s="166">
        <v>41090</v>
      </c>
      <c r="I290" s="166">
        <v>34610</v>
      </c>
      <c r="J290" s="166">
        <v>28150</v>
      </c>
      <c r="K290" s="166">
        <v>21690</v>
      </c>
      <c r="L290" s="167">
        <v>237300</v>
      </c>
    </row>
    <row r="291" spans="1:12">
      <c r="A291" s="164"/>
      <c r="B291" s="165"/>
      <c r="C291" s="166"/>
      <c r="D291" s="166"/>
      <c r="E291" s="166"/>
      <c r="F291" s="166"/>
      <c r="G291" s="166"/>
      <c r="H291" s="166"/>
      <c r="I291" s="166"/>
      <c r="J291" s="166"/>
      <c r="K291" s="166"/>
      <c r="L291" s="167"/>
    </row>
    <row r="292" spans="1:12">
      <c r="A292" s="164">
        <v>236</v>
      </c>
      <c r="B292" s="165">
        <v>710000</v>
      </c>
      <c r="C292" s="166">
        <v>713000</v>
      </c>
      <c r="D292" s="166">
        <v>67500</v>
      </c>
      <c r="E292" s="166">
        <v>61040</v>
      </c>
      <c r="F292" s="166">
        <v>54560</v>
      </c>
      <c r="G292" s="166">
        <v>48100</v>
      </c>
      <c r="H292" s="166">
        <v>41640</v>
      </c>
      <c r="I292" s="166">
        <v>35160</v>
      </c>
      <c r="J292" s="166">
        <v>28700</v>
      </c>
      <c r="K292" s="166">
        <v>22240</v>
      </c>
      <c r="L292" s="167">
        <v>238900</v>
      </c>
    </row>
    <row r="293" spans="1:12">
      <c r="A293" s="164">
        <v>237</v>
      </c>
      <c r="B293" s="165">
        <v>713000</v>
      </c>
      <c r="C293" s="166">
        <v>716000</v>
      </c>
      <c r="D293" s="166">
        <v>68050</v>
      </c>
      <c r="E293" s="166">
        <v>61590</v>
      </c>
      <c r="F293" s="166">
        <v>55110</v>
      </c>
      <c r="G293" s="166">
        <v>48650</v>
      </c>
      <c r="H293" s="166">
        <v>42190</v>
      </c>
      <c r="I293" s="166">
        <v>35710</v>
      </c>
      <c r="J293" s="166">
        <v>29250</v>
      </c>
      <c r="K293" s="166">
        <v>22790</v>
      </c>
      <c r="L293" s="167">
        <v>240500</v>
      </c>
    </row>
    <row r="294" spans="1:12">
      <c r="A294" s="164">
        <v>238</v>
      </c>
      <c r="B294" s="165">
        <v>716000</v>
      </c>
      <c r="C294" s="166">
        <v>719000</v>
      </c>
      <c r="D294" s="166">
        <v>68600</v>
      </c>
      <c r="E294" s="166">
        <v>62140</v>
      </c>
      <c r="F294" s="166">
        <v>55660</v>
      </c>
      <c r="G294" s="166">
        <v>49200</v>
      </c>
      <c r="H294" s="166">
        <v>42740</v>
      </c>
      <c r="I294" s="166">
        <v>36270</v>
      </c>
      <c r="J294" s="166">
        <v>29800</v>
      </c>
      <c r="K294" s="166">
        <v>23340</v>
      </c>
      <c r="L294" s="167">
        <v>242200</v>
      </c>
    </row>
    <row r="295" spans="1:12">
      <c r="A295" s="164">
        <v>239</v>
      </c>
      <c r="B295" s="165">
        <v>719000</v>
      </c>
      <c r="C295" s="166">
        <v>722000</v>
      </c>
      <c r="D295" s="166">
        <v>69150</v>
      </c>
      <c r="E295" s="166">
        <v>62690</v>
      </c>
      <c r="F295" s="166">
        <v>56220</v>
      </c>
      <c r="G295" s="166">
        <v>49750</v>
      </c>
      <c r="H295" s="166">
        <v>43290</v>
      </c>
      <c r="I295" s="166">
        <v>36820</v>
      </c>
      <c r="J295" s="166">
        <v>30350</v>
      </c>
      <c r="K295" s="166">
        <v>23890</v>
      </c>
      <c r="L295" s="167">
        <v>243800</v>
      </c>
    </row>
    <row r="296" spans="1:12">
      <c r="A296" s="164">
        <v>240</v>
      </c>
      <c r="B296" s="165">
        <v>722000</v>
      </c>
      <c r="C296" s="166">
        <v>725000</v>
      </c>
      <c r="D296" s="166">
        <v>69700</v>
      </c>
      <c r="E296" s="166">
        <v>63240</v>
      </c>
      <c r="F296" s="166">
        <v>56770</v>
      </c>
      <c r="G296" s="166">
        <v>50300</v>
      </c>
      <c r="H296" s="166">
        <v>43840</v>
      </c>
      <c r="I296" s="166">
        <v>37370</v>
      </c>
      <c r="J296" s="166">
        <v>30910</v>
      </c>
      <c r="K296" s="166">
        <v>24440</v>
      </c>
      <c r="L296" s="167">
        <v>245300</v>
      </c>
    </row>
    <row r="297" spans="1:12">
      <c r="A297" s="164"/>
      <c r="B297" s="165"/>
      <c r="C297" s="166"/>
      <c r="D297" s="166"/>
      <c r="E297" s="166"/>
      <c r="F297" s="166"/>
      <c r="G297" s="166"/>
      <c r="H297" s="166"/>
      <c r="I297" s="166"/>
      <c r="J297" s="166"/>
      <c r="K297" s="166"/>
      <c r="L297" s="167"/>
    </row>
    <row r="298" spans="1:12">
      <c r="A298" s="164">
        <v>241</v>
      </c>
      <c r="B298" s="165">
        <v>725000</v>
      </c>
      <c r="C298" s="166">
        <v>728000</v>
      </c>
      <c r="D298" s="166">
        <v>70260</v>
      </c>
      <c r="E298" s="166">
        <v>63790</v>
      </c>
      <c r="F298" s="166">
        <v>57320</v>
      </c>
      <c r="G298" s="166">
        <v>50860</v>
      </c>
      <c r="H298" s="166">
        <v>44390</v>
      </c>
      <c r="I298" s="166">
        <v>37920</v>
      </c>
      <c r="J298" s="166">
        <v>31460</v>
      </c>
      <c r="K298" s="166">
        <v>24990</v>
      </c>
      <c r="L298" s="167">
        <v>247000</v>
      </c>
    </row>
    <row r="299" spans="1:12">
      <c r="A299" s="164">
        <v>242</v>
      </c>
      <c r="B299" s="165">
        <v>728000</v>
      </c>
      <c r="C299" s="166">
        <v>731000</v>
      </c>
      <c r="D299" s="166">
        <v>70810</v>
      </c>
      <c r="E299" s="166">
        <v>64340</v>
      </c>
      <c r="F299" s="166">
        <v>57870</v>
      </c>
      <c r="G299" s="166">
        <v>51410</v>
      </c>
      <c r="H299" s="166">
        <v>44940</v>
      </c>
      <c r="I299" s="166">
        <v>38470</v>
      </c>
      <c r="J299" s="166">
        <v>32010</v>
      </c>
      <c r="K299" s="166">
        <v>25550</v>
      </c>
      <c r="L299" s="167">
        <v>248600</v>
      </c>
    </row>
    <row r="300" spans="1:12">
      <c r="A300" s="164">
        <v>243</v>
      </c>
      <c r="B300" s="165">
        <v>731000</v>
      </c>
      <c r="C300" s="166">
        <v>734000</v>
      </c>
      <c r="D300" s="166">
        <v>71360</v>
      </c>
      <c r="E300" s="166">
        <v>64890</v>
      </c>
      <c r="F300" s="166">
        <v>58420</v>
      </c>
      <c r="G300" s="166">
        <v>51960</v>
      </c>
      <c r="H300" s="166">
        <v>45500</v>
      </c>
      <c r="I300" s="166">
        <v>39020</v>
      </c>
      <c r="J300" s="166">
        <v>32560</v>
      </c>
      <c r="K300" s="166">
        <v>26100</v>
      </c>
      <c r="L300" s="167">
        <v>250200</v>
      </c>
    </row>
    <row r="301" spans="1:12">
      <c r="A301" s="164">
        <v>244</v>
      </c>
      <c r="B301" s="165">
        <v>734000</v>
      </c>
      <c r="C301" s="166">
        <v>737000</v>
      </c>
      <c r="D301" s="166">
        <v>71910</v>
      </c>
      <c r="E301" s="166">
        <v>65450</v>
      </c>
      <c r="F301" s="166">
        <v>58970</v>
      </c>
      <c r="G301" s="166">
        <v>52510</v>
      </c>
      <c r="H301" s="166">
        <v>46050</v>
      </c>
      <c r="I301" s="166">
        <v>39570</v>
      </c>
      <c r="J301" s="166">
        <v>33110</v>
      </c>
      <c r="K301" s="166">
        <v>26650</v>
      </c>
      <c r="L301" s="167">
        <v>251900</v>
      </c>
    </row>
    <row r="302" spans="1:12">
      <c r="A302" s="164">
        <v>245</v>
      </c>
      <c r="B302" s="165">
        <v>737000</v>
      </c>
      <c r="C302" s="166">
        <v>740000</v>
      </c>
      <c r="D302" s="166">
        <v>72460</v>
      </c>
      <c r="E302" s="166">
        <v>66000</v>
      </c>
      <c r="F302" s="166">
        <v>59520</v>
      </c>
      <c r="G302" s="166">
        <v>53060</v>
      </c>
      <c r="H302" s="166">
        <v>46600</v>
      </c>
      <c r="I302" s="166">
        <v>40130</v>
      </c>
      <c r="J302" s="166">
        <v>33660</v>
      </c>
      <c r="K302" s="166">
        <v>27200</v>
      </c>
      <c r="L302" s="167">
        <v>253500</v>
      </c>
    </row>
    <row r="303" spans="1:12" ht="14.25" thickBot="1">
      <c r="A303" s="164"/>
      <c r="B303" s="168"/>
      <c r="C303" s="169"/>
      <c r="D303" s="169"/>
      <c r="E303" s="169"/>
      <c r="F303" s="169"/>
      <c r="G303" s="169"/>
      <c r="H303" s="169"/>
      <c r="I303" s="169"/>
      <c r="J303" s="169"/>
      <c r="K303" s="169"/>
      <c r="L303" s="170"/>
    </row>
    <row r="304" spans="1:12">
      <c r="A304" s="164">
        <v>246</v>
      </c>
      <c r="B304" s="165">
        <v>740000</v>
      </c>
      <c r="C304" s="166">
        <v>743000</v>
      </c>
      <c r="D304" s="166">
        <v>73010</v>
      </c>
      <c r="E304" s="166">
        <v>66550</v>
      </c>
      <c r="F304" s="166">
        <v>60080</v>
      </c>
      <c r="G304" s="166">
        <v>53610</v>
      </c>
      <c r="H304" s="166">
        <v>47150</v>
      </c>
      <c r="I304" s="166">
        <v>40680</v>
      </c>
      <c r="J304" s="166">
        <v>34210</v>
      </c>
      <c r="K304" s="166">
        <v>27750</v>
      </c>
      <c r="L304" s="167">
        <v>255100</v>
      </c>
    </row>
    <row r="305" spans="1:12">
      <c r="A305" s="164">
        <v>247</v>
      </c>
      <c r="B305" s="165">
        <v>743000</v>
      </c>
      <c r="C305" s="166">
        <v>746000</v>
      </c>
      <c r="D305" s="166">
        <v>73560</v>
      </c>
      <c r="E305" s="166">
        <v>67100</v>
      </c>
      <c r="F305" s="166">
        <v>60630</v>
      </c>
      <c r="G305" s="166">
        <v>54160</v>
      </c>
      <c r="H305" s="166">
        <v>47700</v>
      </c>
      <c r="I305" s="166">
        <v>41230</v>
      </c>
      <c r="J305" s="166">
        <v>34770</v>
      </c>
      <c r="K305" s="166">
        <v>28300</v>
      </c>
      <c r="L305" s="167">
        <v>256800</v>
      </c>
    </row>
    <row r="306" spans="1:12">
      <c r="A306" s="164">
        <v>248</v>
      </c>
      <c r="B306" s="165">
        <v>746000</v>
      </c>
      <c r="C306" s="166">
        <v>749000</v>
      </c>
      <c r="D306" s="166">
        <v>74110</v>
      </c>
      <c r="E306" s="166">
        <v>67650</v>
      </c>
      <c r="F306" s="166">
        <v>61180</v>
      </c>
      <c r="G306" s="166">
        <v>54720</v>
      </c>
      <c r="H306" s="166">
        <v>48250</v>
      </c>
      <c r="I306" s="166">
        <v>41780</v>
      </c>
      <c r="J306" s="166">
        <v>35320</v>
      </c>
      <c r="K306" s="166">
        <v>28850</v>
      </c>
      <c r="L306" s="167">
        <v>258400</v>
      </c>
    </row>
    <row r="307" spans="1:12">
      <c r="A307" s="164">
        <v>249</v>
      </c>
      <c r="B307" s="165">
        <v>749000</v>
      </c>
      <c r="C307" s="166">
        <v>752000</v>
      </c>
      <c r="D307" s="166">
        <v>74670</v>
      </c>
      <c r="E307" s="166">
        <v>68200</v>
      </c>
      <c r="F307" s="166">
        <v>61730</v>
      </c>
      <c r="G307" s="166">
        <v>55270</v>
      </c>
      <c r="H307" s="166">
        <v>48800</v>
      </c>
      <c r="I307" s="166">
        <v>42330</v>
      </c>
      <c r="J307" s="166">
        <v>35870</v>
      </c>
      <c r="K307" s="166">
        <v>29400</v>
      </c>
      <c r="L307" s="167">
        <v>259900</v>
      </c>
    </row>
    <row r="308" spans="1:12">
      <c r="A308" s="164">
        <v>250</v>
      </c>
      <c r="B308" s="165">
        <v>752000</v>
      </c>
      <c r="C308" s="166">
        <v>755000</v>
      </c>
      <c r="D308" s="166">
        <v>75220</v>
      </c>
      <c r="E308" s="166">
        <v>68750</v>
      </c>
      <c r="F308" s="166">
        <v>62280</v>
      </c>
      <c r="G308" s="166">
        <v>55820</v>
      </c>
      <c r="H308" s="166">
        <v>49360</v>
      </c>
      <c r="I308" s="166">
        <v>42880</v>
      </c>
      <c r="J308" s="166">
        <v>36420</v>
      </c>
      <c r="K308" s="166">
        <v>29960</v>
      </c>
      <c r="L308" s="167">
        <v>261600</v>
      </c>
    </row>
    <row r="309" spans="1:12">
      <c r="A309" s="164"/>
      <c r="B309" s="165"/>
      <c r="C309" s="166"/>
      <c r="D309" s="166"/>
      <c r="E309" s="166"/>
      <c r="F309" s="166"/>
      <c r="G309" s="166"/>
      <c r="H309" s="166"/>
      <c r="I309" s="166"/>
      <c r="J309" s="166"/>
      <c r="K309" s="166"/>
      <c r="L309" s="167"/>
    </row>
    <row r="310" spans="1:12">
      <c r="A310" s="164">
        <v>251</v>
      </c>
      <c r="B310" s="165">
        <v>755000</v>
      </c>
      <c r="C310" s="166">
        <v>758000</v>
      </c>
      <c r="D310" s="166">
        <v>75770</v>
      </c>
      <c r="E310" s="166">
        <v>69310</v>
      </c>
      <c r="F310" s="166">
        <v>62830</v>
      </c>
      <c r="G310" s="166">
        <v>56370</v>
      </c>
      <c r="H310" s="166">
        <v>49910</v>
      </c>
      <c r="I310" s="166">
        <v>43430</v>
      </c>
      <c r="J310" s="166">
        <v>36970</v>
      </c>
      <c r="K310" s="166">
        <v>30510</v>
      </c>
      <c r="L310" s="167">
        <v>263200</v>
      </c>
    </row>
    <row r="311" spans="1:12">
      <c r="A311" s="164">
        <v>252</v>
      </c>
      <c r="B311" s="165">
        <v>758000</v>
      </c>
      <c r="C311" s="166">
        <v>761000</v>
      </c>
      <c r="D311" s="166">
        <v>76320</v>
      </c>
      <c r="E311" s="166">
        <v>69860</v>
      </c>
      <c r="F311" s="166">
        <v>63380</v>
      </c>
      <c r="G311" s="166">
        <v>56920</v>
      </c>
      <c r="H311" s="166">
        <v>50460</v>
      </c>
      <c r="I311" s="166">
        <v>43980</v>
      </c>
      <c r="J311" s="166">
        <v>37520</v>
      </c>
      <c r="K311" s="166">
        <v>31060</v>
      </c>
      <c r="L311" s="167">
        <v>264800</v>
      </c>
    </row>
    <row r="312" spans="1:12">
      <c r="A312" s="164">
        <v>253</v>
      </c>
      <c r="B312" s="165">
        <v>761000</v>
      </c>
      <c r="C312" s="166">
        <v>764000</v>
      </c>
      <c r="D312" s="166">
        <v>76870</v>
      </c>
      <c r="E312" s="166">
        <v>70410</v>
      </c>
      <c r="F312" s="166">
        <v>63940</v>
      </c>
      <c r="G312" s="166">
        <v>57470</v>
      </c>
      <c r="H312" s="166">
        <v>51010</v>
      </c>
      <c r="I312" s="166">
        <v>44540</v>
      </c>
      <c r="J312" s="166">
        <v>38070</v>
      </c>
      <c r="K312" s="166">
        <v>31610</v>
      </c>
      <c r="L312" s="167">
        <v>266500</v>
      </c>
    </row>
    <row r="313" spans="1:12">
      <c r="A313" s="164">
        <v>254</v>
      </c>
      <c r="B313" s="165">
        <v>764000</v>
      </c>
      <c r="C313" s="166">
        <v>767000</v>
      </c>
      <c r="D313" s="166">
        <v>77420</v>
      </c>
      <c r="E313" s="166">
        <v>70960</v>
      </c>
      <c r="F313" s="166">
        <v>64490</v>
      </c>
      <c r="G313" s="166">
        <v>58020</v>
      </c>
      <c r="H313" s="166">
        <v>51560</v>
      </c>
      <c r="I313" s="166">
        <v>45090</v>
      </c>
      <c r="J313" s="166">
        <v>38620</v>
      </c>
      <c r="K313" s="166">
        <v>32160</v>
      </c>
      <c r="L313" s="167">
        <v>268100</v>
      </c>
    </row>
    <row r="314" spans="1:12">
      <c r="A314" s="164">
        <v>255</v>
      </c>
      <c r="B314" s="165">
        <v>767000</v>
      </c>
      <c r="C314" s="166">
        <v>770000</v>
      </c>
      <c r="D314" s="166">
        <v>77970</v>
      </c>
      <c r="E314" s="166">
        <v>71510</v>
      </c>
      <c r="F314" s="166">
        <v>65040</v>
      </c>
      <c r="G314" s="166">
        <v>58570</v>
      </c>
      <c r="H314" s="166">
        <v>52110</v>
      </c>
      <c r="I314" s="166">
        <v>45640</v>
      </c>
      <c r="J314" s="166">
        <v>39180</v>
      </c>
      <c r="K314" s="166">
        <v>32710</v>
      </c>
      <c r="L314" s="167">
        <v>269700</v>
      </c>
    </row>
    <row r="315" spans="1:12">
      <c r="A315" s="164"/>
      <c r="B315" s="165"/>
      <c r="C315" s="166"/>
      <c r="D315" s="166"/>
      <c r="E315" s="166"/>
      <c r="F315" s="166"/>
      <c r="G315" s="166"/>
      <c r="H315" s="166"/>
      <c r="I315" s="166"/>
      <c r="J315" s="166"/>
      <c r="K315" s="166"/>
      <c r="L315" s="167"/>
    </row>
    <row r="316" spans="1:12">
      <c r="A316" s="164">
        <v>256</v>
      </c>
      <c r="B316" s="165">
        <v>770000</v>
      </c>
      <c r="C316" s="166">
        <v>773000</v>
      </c>
      <c r="D316" s="166">
        <v>78530</v>
      </c>
      <c r="E316" s="166">
        <v>72060</v>
      </c>
      <c r="F316" s="166">
        <v>65590</v>
      </c>
      <c r="G316" s="166">
        <v>59130</v>
      </c>
      <c r="H316" s="166">
        <v>52660</v>
      </c>
      <c r="I316" s="166">
        <v>46190</v>
      </c>
      <c r="J316" s="166">
        <v>39730</v>
      </c>
      <c r="K316" s="166">
        <v>33260</v>
      </c>
      <c r="L316" s="167">
        <v>271400</v>
      </c>
    </row>
    <row r="317" spans="1:12">
      <c r="A317" s="164">
        <v>257</v>
      </c>
      <c r="B317" s="165">
        <v>773000</v>
      </c>
      <c r="C317" s="166">
        <v>776000</v>
      </c>
      <c r="D317" s="166">
        <v>79080</v>
      </c>
      <c r="E317" s="166">
        <v>72610</v>
      </c>
      <c r="F317" s="166">
        <v>66140</v>
      </c>
      <c r="G317" s="166">
        <v>59680</v>
      </c>
      <c r="H317" s="166">
        <v>53210</v>
      </c>
      <c r="I317" s="166">
        <v>46740</v>
      </c>
      <c r="J317" s="166">
        <v>40280</v>
      </c>
      <c r="K317" s="166">
        <v>33820</v>
      </c>
      <c r="L317" s="167">
        <v>273000</v>
      </c>
    </row>
    <row r="318" spans="1:12">
      <c r="A318" s="164">
        <v>258</v>
      </c>
      <c r="B318" s="165">
        <v>776000</v>
      </c>
      <c r="C318" s="166">
        <v>779000</v>
      </c>
      <c r="D318" s="166">
        <v>79630</v>
      </c>
      <c r="E318" s="166">
        <v>73160</v>
      </c>
      <c r="F318" s="166">
        <v>66690</v>
      </c>
      <c r="G318" s="166">
        <v>60230</v>
      </c>
      <c r="H318" s="166">
        <v>53770</v>
      </c>
      <c r="I318" s="166">
        <v>47290</v>
      </c>
      <c r="J318" s="166">
        <v>40830</v>
      </c>
      <c r="K318" s="166">
        <v>34370</v>
      </c>
      <c r="L318" s="167">
        <v>274600</v>
      </c>
    </row>
    <row r="319" spans="1:12">
      <c r="A319" s="164">
        <v>259</v>
      </c>
      <c r="B319" s="165">
        <v>779000</v>
      </c>
      <c r="C319" s="166">
        <v>782000</v>
      </c>
      <c r="D319" s="166">
        <v>80180</v>
      </c>
      <c r="E319" s="166">
        <v>73720</v>
      </c>
      <c r="F319" s="166">
        <v>67240</v>
      </c>
      <c r="G319" s="166">
        <v>60780</v>
      </c>
      <c r="H319" s="166">
        <v>54320</v>
      </c>
      <c r="I319" s="166">
        <v>47840</v>
      </c>
      <c r="J319" s="166">
        <v>41380</v>
      </c>
      <c r="K319" s="166">
        <v>34920</v>
      </c>
      <c r="L319" s="167">
        <v>276200</v>
      </c>
    </row>
    <row r="320" spans="1:12">
      <c r="A320" s="164">
        <v>260</v>
      </c>
      <c r="B320" s="165">
        <v>782000</v>
      </c>
      <c r="C320" s="166">
        <v>785000</v>
      </c>
      <c r="D320" s="166">
        <v>80730</v>
      </c>
      <c r="E320" s="166">
        <v>74270</v>
      </c>
      <c r="F320" s="166">
        <v>67790</v>
      </c>
      <c r="G320" s="166">
        <v>61330</v>
      </c>
      <c r="H320" s="166">
        <v>54870</v>
      </c>
      <c r="I320" s="166">
        <v>48400</v>
      </c>
      <c r="J320" s="166">
        <v>41930</v>
      </c>
      <c r="K320" s="166">
        <v>35470</v>
      </c>
      <c r="L320" s="167">
        <v>277800</v>
      </c>
    </row>
    <row r="321" spans="1:12">
      <c r="A321" s="164"/>
      <c r="B321" s="165"/>
      <c r="C321" s="166"/>
      <c r="D321" s="166"/>
      <c r="E321" s="166"/>
      <c r="F321" s="166"/>
      <c r="G321" s="166"/>
      <c r="H321" s="166"/>
      <c r="I321" s="166"/>
      <c r="J321" s="166"/>
      <c r="K321" s="166"/>
      <c r="L321" s="167"/>
    </row>
    <row r="322" spans="1:12">
      <c r="A322" s="164">
        <v>261</v>
      </c>
      <c r="B322" s="165">
        <v>785000</v>
      </c>
      <c r="C322" s="166">
        <v>788000</v>
      </c>
      <c r="D322" s="166">
        <v>81280</v>
      </c>
      <c r="E322" s="166">
        <v>74820</v>
      </c>
      <c r="F322" s="166">
        <v>68350</v>
      </c>
      <c r="G322" s="166">
        <v>61880</v>
      </c>
      <c r="H322" s="166">
        <v>55420</v>
      </c>
      <c r="I322" s="166">
        <v>48950</v>
      </c>
      <c r="J322" s="166">
        <v>42480</v>
      </c>
      <c r="K322" s="166">
        <v>36020</v>
      </c>
      <c r="L322" s="167">
        <v>279400</v>
      </c>
    </row>
    <row r="323" spans="1:12">
      <c r="A323" s="164">
        <v>262</v>
      </c>
      <c r="B323" s="165">
        <v>788000</v>
      </c>
      <c r="C323" s="166">
        <v>791000</v>
      </c>
      <c r="D323" s="166">
        <v>81830</v>
      </c>
      <c r="E323" s="166">
        <v>75370</v>
      </c>
      <c r="F323" s="166">
        <v>68900</v>
      </c>
      <c r="G323" s="166">
        <v>62430</v>
      </c>
      <c r="H323" s="166">
        <v>55970</v>
      </c>
      <c r="I323" s="166">
        <v>49500</v>
      </c>
      <c r="J323" s="166">
        <v>43040</v>
      </c>
      <c r="K323" s="166">
        <v>36570</v>
      </c>
      <c r="L323" s="167">
        <v>281100</v>
      </c>
    </row>
    <row r="324" spans="1:12">
      <c r="A324" s="164">
        <v>263</v>
      </c>
      <c r="B324" s="165">
        <v>791000</v>
      </c>
      <c r="C324" s="166">
        <v>794000</v>
      </c>
      <c r="D324" s="166">
        <v>82460</v>
      </c>
      <c r="E324" s="166">
        <v>75920</v>
      </c>
      <c r="F324" s="166">
        <v>69450</v>
      </c>
      <c r="G324" s="166">
        <v>62990</v>
      </c>
      <c r="H324" s="166">
        <v>56520</v>
      </c>
      <c r="I324" s="166">
        <v>50050</v>
      </c>
      <c r="J324" s="166">
        <v>43590</v>
      </c>
      <c r="K324" s="166">
        <v>37120</v>
      </c>
      <c r="L324" s="167">
        <v>282700</v>
      </c>
    </row>
    <row r="325" spans="1:12">
      <c r="A325" s="164">
        <v>264</v>
      </c>
      <c r="B325" s="165">
        <v>794000</v>
      </c>
      <c r="C325" s="166">
        <v>797000</v>
      </c>
      <c r="D325" s="166">
        <v>83100</v>
      </c>
      <c r="E325" s="166">
        <v>76470</v>
      </c>
      <c r="F325" s="166">
        <v>70000</v>
      </c>
      <c r="G325" s="166">
        <v>63540</v>
      </c>
      <c r="H325" s="166">
        <v>57070</v>
      </c>
      <c r="I325" s="166">
        <v>50600</v>
      </c>
      <c r="J325" s="166">
        <v>44140</v>
      </c>
      <c r="K325" s="166">
        <v>37670</v>
      </c>
      <c r="L325" s="167">
        <v>284300</v>
      </c>
    </row>
    <row r="326" spans="1:12">
      <c r="A326" s="164">
        <v>265</v>
      </c>
      <c r="B326" s="165">
        <v>797000</v>
      </c>
      <c r="C326" s="166">
        <v>800000</v>
      </c>
      <c r="D326" s="166">
        <v>83730</v>
      </c>
      <c r="E326" s="166">
        <v>77020</v>
      </c>
      <c r="F326" s="166">
        <v>70550</v>
      </c>
      <c r="G326" s="166">
        <v>64090</v>
      </c>
      <c r="H326" s="166">
        <v>57630</v>
      </c>
      <c r="I326" s="166">
        <v>51150</v>
      </c>
      <c r="J326" s="166">
        <v>44690</v>
      </c>
      <c r="K326" s="166">
        <v>38230</v>
      </c>
      <c r="L326" s="167">
        <v>286000</v>
      </c>
    </row>
    <row r="327" spans="1:12">
      <c r="A327" s="164"/>
      <c r="B327" s="165"/>
      <c r="C327" s="166"/>
      <c r="D327" s="166"/>
      <c r="E327" s="166"/>
      <c r="F327" s="166"/>
      <c r="G327" s="166"/>
      <c r="H327" s="166"/>
      <c r="I327" s="166"/>
      <c r="J327" s="166"/>
      <c r="K327" s="166"/>
      <c r="L327" s="167"/>
    </row>
    <row r="328" spans="1:12">
      <c r="A328" s="164">
        <v>266</v>
      </c>
      <c r="B328" s="165">
        <v>800000</v>
      </c>
      <c r="C328" s="166">
        <v>803000</v>
      </c>
      <c r="D328" s="166">
        <v>84370</v>
      </c>
      <c r="E328" s="166">
        <v>77580</v>
      </c>
      <c r="F328" s="166">
        <v>71100</v>
      </c>
      <c r="G328" s="166">
        <v>64640</v>
      </c>
      <c r="H328" s="166">
        <v>58180</v>
      </c>
      <c r="I328" s="166">
        <v>51700</v>
      </c>
      <c r="J328" s="166">
        <v>45240</v>
      </c>
      <c r="K328" s="166">
        <v>38780</v>
      </c>
      <c r="L328" s="167">
        <v>287600</v>
      </c>
    </row>
    <row r="329" spans="1:12">
      <c r="A329" s="164">
        <v>267</v>
      </c>
      <c r="B329" s="165">
        <v>803000</v>
      </c>
      <c r="C329" s="166">
        <v>806000</v>
      </c>
      <c r="D329" s="166">
        <v>85000</v>
      </c>
      <c r="E329" s="166">
        <v>78130</v>
      </c>
      <c r="F329" s="166">
        <v>71650</v>
      </c>
      <c r="G329" s="166">
        <v>65190</v>
      </c>
      <c r="H329" s="166">
        <v>58730</v>
      </c>
      <c r="I329" s="166">
        <v>52250</v>
      </c>
      <c r="J329" s="166">
        <v>45790</v>
      </c>
      <c r="K329" s="166">
        <v>39330</v>
      </c>
      <c r="L329" s="167">
        <v>289200</v>
      </c>
    </row>
    <row r="330" spans="1:12">
      <c r="A330" s="164">
        <v>268</v>
      </c>
      <c r="B330" s="165">
        <v>806000</v>
      </c>
      <c r="C330" s="166">
        <v>809000</v>
      </c>
      <c r="D330" s="166">
        <v>85630</v>
      </c>
      <c r="E330" s="166">
        <v>78680</v>
      </c>
      <c r="F330" s="166">
        <v>72210</v>
      </c>
      <c r="G330" s="166">
        <v>65740</v>
      </c>
      <c r="H330" s="166">
        <v>59280</v>
      </c>
      <c r="I330" s="166">
        <v>52810</v>
      </c>
      <c r="J330" s="166">
        <v>46340</v>
      </c>
      <c r="K330" s="166">
        <v>39880</v>
      </c>
      <c r="L330" s="167">
        <v>290800</v>
      </c>
    </row>
    <row r="331" spans="1:12">
      <c r="A331" s="164">
        <v>269</v>
      </c>
      <c r="B331" s="165">
        <v>809000</v>
      </c>
      <c r="C331" s="166">
        <v>812000</v>
      </c>
      <c r="D331" s="166">
        <v>86260</v>
      </c>
      <c r="E331" s="166">
        <v>79230</v>
      </c>
      <c r="F331" s="166">
        <v>72760</v>
      </c>
      <c r="G331" s="166">
        <v>66290</v>
      </c>
      <c r="H331" s="166">
        <v>59830</v>
      </c>
      <c r="I331" s="166">
        <v>53360</v>
      </c>
      <c r="J331" s="166">
        <v>46890</v>
      </c>
      <c r="K331" s="166">
        <v>40430</v>
      </c>
      <c r="L331" s="167">
        <v>292400</v>
      </c>
    </row>
    <row r="332" spans="1:12">
      <c r="A332" s="164">
        <v>270</v>
      </c>
      <c r="B332" s="165">
        <v>812000</v>
      </c>
      <c r="C332" s="166">
        <v>815000</v>
      </c>
      <c r="D332" s="166">
        <v>86900</v>
      </c>
      <c r="E332" s="166">
        <v>79780</v>
      </c>
      <c r="F332" s="166">
        <v>73310</v>
      </c>
      <c r="G332" s="166">
        <v>66840</v>
      </c>
      <c r="H332" s="166">
        <v>60380</v>
      </c>
      <c r="I332" s="166">
        <v>53910</v>
      </c>
      <c r="J332" s="166">
        <v>47450</v>
      </c>
      <c r="K332" s="166">
        <v>40980</v>
      </c>
      <c r="L332" s="167">
        <v>294000</v>
      </c>
    </row>
    <row r="333" spans="1:12">
      <c r="A333" s="164"/>
      <c r="B333" s="165"/>
      <c r="C333" s="166"/>
      <c r="D333" s="166"/>
      <c r="E333" s="166"/>
      <c r="F333" s="166"/>
      <c r="G333" s="166"/>
      <c r="H333" s="166"/>
      <c r="I333" s="166"/>
      <c r="J333" s="166"/>
      <c r="K333" s="166"/>
      <c r="L333" s="167"/>
    </row>
    <row r="334" spans="1:12">
      <c r="A334" s="164">
        <v>271</v>
      </c>
      <c r="B334" s="165">
        <v>815000</v>
      </c>
      <c r="C334" s="166">
        <v>818000</v>
      </c>
      <c r="D334" s="166">
        <v>87530</v>
      </c>
      <c r="E334" s="166">
        <v>80330</v>
      </c>
      <c r="F334" s="166">
        <v>73860</v>
      </c>
      <c r="G334" s="166">
        <v>67400</v>
      </c>
      <c r="H334" s="166">
        <v>60930</v>
      </c>
      <c r="I334" s="166">
        <v>54460</v>
      </c>
      <c r="J334" s="166">
        <v>48000</v>
      </c>
      <c r="K334" s="166">
        <v>41530</v>
      </c>
      <c r="L334" s="167">
        <v>295700</v>
      </c>
    </row>
    <row r="335" spans="1:12">
      <c r="A335" s="164">
        <v>272</v>
      </c>
      <c r="B335" s="165">
        <v>818000</v>
      </c>
      <c r="C335" s="166">
        <v>821000</v>
      </c>
      <c r="D335" s="166">
        <v>88160</v>
      </c>
      <c r="E335" s="166">
        <v>80880</v>
      </c>
      <c r="F335" s="166">
        <v>74410</v>
      </c>
      <c r="G335" s="166">
        <v>67950</v>
      </c>
      <c r="H335" s="166">
        <v>61480</v>
      </c>
      <c r="I335" s="166">
        <v>55010</v>
      </c>
      <c r="J335" s="166">
        <v>48550</v>
      </c>
      <c r="K335" s="166">
        <v>42090</v>
      </c>
      <c r="L335" s="167">
        <v>297300</v>
      </c>
    </row>
    <row r="336" spans="1:12">
      <c r="A336" s="164">
        <v>273</v>
      </c>
      <c r="B336" s="165">
        <v>821000</v>
      </c>
      <c r="C336" s="166">
        <v>824000</v>
      </c>
      <c r="D336" s="166">
        <v>88800</v>
      </c>
      <c r="E336" s="166">
        <v>81430</v>
      </c>
      <c r="F336" s="166">
        <v>74960</v>
      </c>
      <c r="G336" s="166">
        <v>68500</v>
      </c>
      <c r="H336" s="166">
        <v>62040</v>
      </c>
      <c r="I336" s="166">
        <v>55560</v>
      </c>
      <c r="J336" s="166">
        <v>49100</v>
      </c>
      <c r="K336" s="166">
        <v>42640</v>
      </c>
      <c r="L336" s="167">
        <v>298900</v>
      </c>
    </row>
    <row r="337" spans="1:12">
      <c r="A337" s="164">
        <v>274</v>
      </c>
      <c r="B337" s="165">
        <v>824000</v>
      </c>
      <c r="C337" s="166">
        <v>827000</v>
      </c>
      <c r="D337" s="166">
        <v>89440</v>
      </c>
      <c r="E337" s="166">
        <v>82000</v>
      </c>
      <c r="F337" s="166">
        <v>75510</v>
      </c>
      <c r="G337" s="166">
        <v>69050</v>
      </c>
      <c r="H337" s="166">
        <v>62590</v>
      </c>
      <c r="I337" s="166">
        <v>56110</v>
      </c>
      <c r="J337" s="166">
        <v>49650</v>
      </c>
      <c r="K337" s="166">
        <v>43190</v>
      </c>
      <c r="L337" s="167">
        <v>300600</v>
      </c>
    </row>
    <row r="338" spans="1:12">
      <c r="A338" s="164">
        <v>275</v>
      </c>
      <c r="B338" s="165">
        <v>827000</v>
      </c>
      <c r="C338" s="166">
        <v>830000</v>
      </c>
      <c r="D338" s="166">
        <v>90070</v>
      </c>
      <c r="E338" s="166">
        <v>82630</v>
      </c>
      <c r="F338" s="166">
        <v>76060</v>
      </c>
      <c r="G338" s="166">
        <v>69600</v>
      </c>
      <c r="H338" s="166">
        <v>63140</v>
      </c>
      <c r="I338" s="166">
        <v>56670</v>
      </c>
      <c r="J338" s="166">
        <v>50200</v>
      </c>
      <c r="K338" s="166">
        <v>43740</v>
      </c>
      <c r="L338" s="167">
        <v>302200</v>
      </c>
    </row>
    <row r="339" spans="1:12">
      <c r="A339" s="164"/>
      <c r="B339" s="165"/>
      <c r="C339" s="166"/>
      <c r="D339" s="166"/>
      <c r="E339" s="166"/>
      <c r="F339" s="166"/>
      <c r="G339" s="166"/>
      <c r="H339" s="166"/>
      <c r="I339" s="166"/>
      <c r="J339" s="166"/>
      <c r="K339" s="166"/>
      <c r="L339" s="167"/>
    </row>
    <row r="340" spans="1:12">
      <c r="A340" s="164">
        <v>276</v>
      </c>
      <c r="B340" s="165">
        <v>830000</v>
      </c>
      <c r="C340" s="166">
        <v>833000</v>
      </c>
      <c r="D340" s="166">
        <v>90710</v>
      </c>
      <c r="E340" s="166">
        <v>83260</v>
      </c>
      <c r="F340" s="166">
        <v>76620</v>
      </c>
      <c r="G340" s="166">
        <v>70150</v>
      </c>
      <c r="H340" s="166">
        <v>63690</v>
      </c>
      <c r="I340" s="166">
        <v>57220</v>
      </c>
      <c r="J340" s="166">
        <v>50750</v>
      </c>
      <c r="K340" s="166">
        <v>44290</v>
      </c>
      <c r="L340" s="167">
        <v>303800</v>
      </c>
    </row>
    <row r="341" spans="1:12">
      <c r="A341" s="164">
        <v>277</v>
      </c>
      <c r="B341" s="165">
        <v>833000</v>
      </c>
      <c r="C341" s="166">
        <v>836000</v>
      </c>
      <c r="D341" s="166">
        <v>91350</v>
      </c>
      <c r="E341" s="166">
        <v>83920</v>
      </c>
      <c r="F341" s="166">
        <v>77190</v>
      </c>
      <c r="G341" s="166">
        <v>70710</v>
      </c>
      <c r="H341" s="166">
        <v>64250</v>
      </c>
      <c r="I341" s="166">
        <v>57790</v>
      </c>
      <c r="J341" s="166">
        <v>51320</v>
      </c>
      <c r="K341" s="166">
        <v>44850</v>
      </c>
      <c r="L341" s="167">
        <v>305400</v>
      </c>
    </row>
    <row r="342" spans="1:12">
      <c r="A342" s="164">
        <v>278</v>
      </c>
      <c r="B342" s="165">
        <v>836000</v>
      </c>
      <c r="C342" s="166">
        <v>839000</v>
      </c>
      <c r="D342" s="166">
        <v>92020</v>
      </c>
      <c r="E342" s="166">
        <v>84580</v>
      </c>
      <c r="F342" s="166">
        <v>77770</v>
      </c>
      <c r="G342" s="166">
        <v>71300</v>
      </c>
      <c r="H342" s="166">
        <v>64830</v>
      </c>
      <c r="I342" s="166">
        <v>58370</v>
      </c>
      <c r="J342" s="166">
        <v>51900</v>
      </c>
      <c r="K342" s="166">
        <v>45430</v>
      </c>
      <c r="L342" s="167">
        <v>307000</v>
      </c>
    </row>
    <row r="343" spans="1:12">
      <c r="A343" s="164">
        <v>279</v>
      </c>
      <c r="B343" s="165">
        <v>839000</v>
      </c>
      <c r="C343" s="166">
        <v>842000</v>
      </c>
      <c r="D343" s="166">
        <v>92690</v>
      </c>
      <c r="E343" s="166">
        <v>85250</v>
      </c>
      <c r="F343" s="166">
        <v>78350</v>
      </c>
      <c r="G343" s="166">
        <v>71880</v>
      </c>
      <c r="H343" s="166">
        <v>65420</v>
      </c>
      <c r="I343" s="166">
        <v>58950</v>
      </c>
      <c r="J343" s="166">
        <v>52480</v>
      </c>
      <c r="K343" s="166">
        <v>46020</v>
      </c>
      <c r="L343" s="167">
        <v>308500</v>
      </c>
    </row>
    <row r="344" spans="1:12">
      <c r="A344" s="164">
        <v>280</v>
      </c>
      <c r="B344" s="165">
        <v>842000</v>
      </c>
      <c r="C344" s="166">
        <v>845000</v>
      </c>
      <c r="D344" s="166">
        <v>93360</v>
      </c>
      <c r="E344" s="166">
        <v>85920</v>
      </c>
      <c r="F344" s="166">
        <v>78930</v>
      </c>
      <c r="G344" s="166">
        <v>72460</v>
      </c>
      <c r="H344" s="166">
        <v>66000</v>
      </c>
      <c r="I344" s="166">
        <v>59530</v>
      </c>
      <c r="J344" s="166">
        <v>53060</v>
      </c>
      <c r="K344" s="166">
        <v>46600</v>
      </c>
      <c r="L344" s="167">
        <v>310100</v>
      </c>
    </row>
    <row r="345" spans="1:12">
      <c r="A345" s="164"/>
      <c r="B345" s="165"/>
      <c r="C345" s="166"/>
      <c r="D345" s="166"/>
      <c r="E345" s="166"/>
      <c r="F345" s="166"/>
      <c r="G345" s="166"/>
      <c r="H345" s="166"/>
      <c r="I345" s="166"/>
      <c r="J345" s="166"/>
      <c r="K345" s="166"/>
      <c r="L345" s="167"/>
    </row>
    <row r="346" spans="1:12">
      <c r="A346" s="164">
        <v>281</v>
      </c>
      <c r="B346" s="165">
        <v>845000</v>
      </c>
      <c r="C346" s="166">
        <v>848000</v>
      </c>
      <c r="D346" s="166">
        <v>94020</v>
      </c>
      <c r="E346" s="166">
        <v>86590</v>
      </c>
      <c r="F346" s="166">
        <v>79520</v>
      </c>
      <c r="G346" s="166">
        <v>73040</v>
      </c>
      <c r="H346" s="166">
        <v>66580</v>
      </c>
      <c r="I346" s="166">
        <v>60120</v>
      </c>
      <c r="J346" s="166">
        <v>53640</v>
      </c>
      <c r="K346" s="166">
        <v>47180</v>
      </c>
      <c r="L346" s="167">
        <v>311600</v>
      </c>
    </row>
    <row r="347" spans="1:12">
      <c r="A347" s="164">
        <v>282</v>
      </c>
      <c r="B347" s="165">
        <v>848000</v>
      </c>
      <c r="C347" s="166">
        <v>851000</v>
      </c>
      <c r="D347" s="166">
        <v>94700</v>
      </c>
      <c r="E347" s="166">
        <v>87260</v>
      </c>
      <c r="F347" s="166">
        <v>80100</v>
      </c>
      <c r="G347" s="166">
        <v>73620</v>
      </c>
      <c r="H347" s="166">
        <v>67160</v>
      </c>
      <c r="I347" s="166">
        <v>60700</v>
      </c>
      <c r="J347" s="166">
        <v>54230</v>
      </c>
      <c r="K347" s="166">
        <v>47760</v>
      </c>
      <c r="L347" s="167">
        <v>313100</v>
      </c>
    </row>
    <row r="348" spans="1:12">
      <c r="A348" s="164">
        <v>283</v>
      </c>
      <c r="B348" s="165">
        <v>851000</v>
      </c>
      <c r="C348" s="166">
        <v>854000</v>
      </c>
      <c r="D348" s="166">
        <v>95360</v>
      </c>
      <c r="E348" s="166">
        <v>87930</v>
      </c>
      <c r="F348" s="166">
        <v>80680</v>
      </c>
      <c r="G348" s="166">
        <v>74210</v>
      </c>
      <c r="H348" s="166">
        <v>67740</v>
      </c>
      <c r="I348" s="166">
        <v>61280</v>
      </c>
      <c r="J348" s="166">
        <v>54810</v>
      </c>
      <c r="K348" s="166">
        <v>48340</v>
      </c>
      <c r="L348" s="167">
        <v>314700</v>
      </c>
    </row>
    <row r="349" spans="1:12">
      <c r="A349" s="164">
        <v>284</v>
      </c>
      <c r="B349" s="165">
        <v>854000</v>
      </c>
      <c r="C349" s="166">
        <v>857000</v>
      </c>
      <c r="D349" s="166">
        <v>96040</v>
      </c>
      <c r="E349" s="166">
        <v>88600</v>
      </c>
      <c r="F349" s="166">
        <v>81260</v>
      </c>
      <c r="G349" s="166">
        <v>74790</v>
      </c>
      <c r="H349" s="166">
        <v>68330</v>
      </c>
      <c r="I349" s="166">
        <v>61860</v>
      </c>
      <c r="J349" s="166">
        <v>55390</v>
      </c>
      <c r="K349" s="166">
        <v>48930</v>
      </c>
      <c r="L349" s="167">
        <v>316300</v>
      </c>
    </row>
    <row r="350" spans="1:12">
      <c r="A350" s="164">
        <v>285</v>
      </c>
      <c r="B350" s="165">
        <v>857000</v>
      </c>
      <c r="C350" s="166">
        <v>860000</v>
      </c>
      <c r="D350" s="166">
        <v>96710</v>
      </c>
      <c r="E350" s="166">
        <v>89270</v>
      </c>
      <c r="F350" s="166">
        <v>81840</v>
      </c>
      <c r="G350" s="166">
        <v>75370</v>
      </c>
      <c r="H350" s="166">
        <v>68910</v>
      </c>
      <c r="I350" s="166">
        <v>62440</v>
      </c>
      <c r="J350" s="166">
        <v>55970</v>
      </c>
      <c r="K350" s="166">
        <v>49510</v>
      </c>
      <c r="L350" s="167">
        <v>317800</v>
      </c>
    </row>
    <row r="351" spans="1:12">
      <c r="A351" s="164"/>
      <c r="B351" s="165"/>
      <c r="C351" s="166"/>
      <c r="D351" s="166"/>
      <c r="E351" s="166"/>
      <c r="F351" s="166"/>
      <c r="G351" s="166"/>
      <c r="H351" s="166"/>
      <c r="I351" s="166"/>
      <c r="J351" s="166"/>
      <c r="K351" s="166"/>
      <c r="L351" s="167"/>
    </row>
    <row r="352" spans="1:12">
      <c r="A352" s="164">
        <v>286</v>
      </c>
      <c r="B352" s="165">
        <v>860000</v>
      </c>
      <c r="C352" s="166">
        <v>863000</v>
      </c>
      <c r="D352" s="166">
        <v>97370</v>
      </c>
      <c r="E352" s="166">
        <v>89940</v>
      </c>
      <c r="F352" s="166">
        <v>82500</v>
      </c>
      <c r="G352" s="166">
        <v>75950</v>
      </c>
      <c r="H352" s="166">
        <v>69490</v>
      </c>
      <c r="I352" s="166">
        <v>63030</v>
      </c>
      <c r="J352" s="166">
        <v>56550</v>
      </c>
      <c r="K352" s="166">
        <v>50090</v>
      </c>
      <c r="L352" s="167">
        <v>319400</v>
      </c>
    </row>
    <row r="353" spans="1:12">
      <c r="A353" s="164">
        <v>287</v>
      </c>
      <c r="B353" s="165">
        <v>863000</v>
      </c>
      <c r="C353" s="166">
        <v>866000</v>
      </c>
      <c r="D353" s="166">
        <v>98050</v>
      </c>
      <c r="E353" s="166">
        <v>90600</v>
      </c>
      <c r="F353" s="166">
        <v>83170</v>
      </c>
      <c r="G353" s="166">
        <v>76530</v>
      </c>
      <c r="H353" s="166">
        <v>70070</v>
      </c>
      <c r="I353" s="166">
        <v>63610</v>
      </c>
      <c r="J353" s="166">
        <v>57140</v>
      </c>
      <c r="K353" s="166">
        <v>50670</v>
      </c>
      <c r="L353" s="167">
        <v>320900</v>
      </c>
    </row>
    <row r="354" spans="1:12">
      <c r="A354" s="164">
        <v>288</v>
      </c>
      <c r="B354" s="165">
        <v>866000</v>
      </c>
      <c r="C354" s="166">
        <v>869000</v>
      </c>
      <c r="D354" s="166">
        <v>98710</v>
      </c>
      <c r="E354" s="166">
        <v>91280</v>
      </c>
      <c r="F354" s="166">
        <v>83840</v>
      </c>
      <c r="G354" s="166">
        <v>77120</v>
      </c>
      <c r="H354" s="166">
        <v>70650</v>
      </c>
      <c r="I354" s="166">
        <v>64190</v>
      </c>
      <c r="J354" s="166">
        <v>57720</v>
      </c>
      <c r="K354" s="166">
        <v>51250</v>
      </c>
      <c r="L354" s="167">
        <v>322400</v>
      </c>
    </row>
    <row r="355" spans="1:12">
      <c r="A355" s="164">
        <v>289</v>
      </c>
      <c r="B355" s="165">
        <v>869000</v>
      </c>
      <c r="C355" s="166">
        <v>872000</v>
      </c>
      <c r="D355" s="166">
        <v>99380</v>
      </c>
      <c r="E355" s="166">
        <v>91940</v>
      </c>
      <c r="F355" s="166">
        <v>84510</v>
      </c>
      <c r="G355" s="166">
        <v>77700</v>
      </c>
      <c r="H355" s="166">
        <v>71240</v>
      </c>
      <c r="I355" s="166">
        <v>64770</v>
      </c>
      <c r="J355" s="166">
        <v>58300</v>
      </c>
      <c r="K355" s="166">
        <v>51840</v>
      </c>
      <c r="L355" s="167">
        <v>324000</v>
      </c>
    </row>
    <row r="356" spans="1:12">
      <c r="A356" s="164">
        <v>290</v>
      </c>
      <c r="B356" s="165">
        <v>872000</v>
      </c>
      <c r="C356" s="166">
        <v>875000</v>
      </c>
      <c r="D356" s="166">
        <v>100050</v>
      </c>
      <c r="E356" s="166">
        <v>92610</v>
      </c>
      <c r="F356" s="166">
        <v>85180</v>
      </c>
      <c r="G356" s="166">
        <v>78280</v>
      </c>
      <c r="H356" s="166">
        <v>71820</v>
      </c>
      <c r="I356" s="166">
        <v>65350</v>
      </c>
      <c r="J356" s="166">
        <v>58880</v>
      </c>
      <c r="K356" s="166">
        <v>52420</v>
      </c>
      <c r="L356" s="167">
        <v>325600</v>
      </c>
    </row>
    <row r="357" spans="1:12">
      <c r="A357" s="164"/>
      <c r="B357" s="165"/>
      <c r="C357" s="166"/>
      <c r="D357" s="166"/>
      <c r="E357" s="166"/>
      <c r="F357" s="166"/>
      <c r="G357" s="166"/>
      <c r="H357" s="166"/>
      <c r="I357" s="166"/>
      <c r="J357" s="166"/>
      <c r="K357" s="166"/>
      <c r="L357" s="167"/>
    </row>
    <row r="358" spans="1:12">
      <c r="A358" s="164">
        <v>291</v>
      </c>
      <c r="B358" s="165">
        <v>875000</v>
      </c>
      <c r="C358" s="166">
        <v>878000</v>
      </c>
      <c r="D358" s="166">
        <v>100720</v>
      </c>
      <c r="E358" s="166">
        <v>93290</v>
      </c>
      <c r="F358" s="166">
        <v>85850</v>
      </c>
      <c r="G358" s="166">
        <v>78860</v>
      </c>
      <c r="H358" s="166">
        <v>72400</v>
      </c>
      <c r="I358" s="166">
        <v>65940</v>
      </c>
      <c r="J358" s="166">
        <v>59460</v>
      </c>
      <c r="K358" s="166">
        <v>53000</v>
      </c>
      <c r="L358" s="167">
        <v>327100</v>
      </c>
    </row>
    <row r="359" spans="1:12">
      <c r="A359" s="164">
        <v>292</v>
      </c>
      <c r="B359" s="165">
        <v>878000</v>
      </c>
      <c r="C359" s="166">
        <v>881000</v>
      </c>
      <c r="D359" s="166">
        <v>101390</v>
      </c>
      <c r="E359" s="166">
        <v>93950</v>
      </c>
      <c r="F359" s="166">
        <v>86520</v>
      </c>
      <c r="G359" s="166">
        <v>79440</v>
      </c>
      <c r="H359" s="166">
        <v>72980</v>
      </c>
      <c r="I359" s="166">
        <v>66520</v>
      </c>
      <c r="J359" s="166">
        <v>60050</v>
      </c>
      <c r="K359" s="166">
        <v>53580</v>
      </c>
      <c r="L359" s="167">
        <v>328700</v>
      </c>
    </row>
    <row r="360" spans="1:12">
      <c r="A360" s="164">
        <v>293</v>
      </c>
      <c r="B360" s="165">
        <v>881000</v>
      </c>
      <c r="C360" s="166">
        <v>884000</v>
      </c>
      <c r="D360" s="166">
        <v>102060</v>
      </c>
      <c r="E360" s="166">
        <v>94630</v>
      </c>
      <c r="F360" s="166">
        <v>87180</v>
      </c>
      <c r="G360" s="166">
        <v>80030</v>
      </c>
      <c r="H360" s="166">
        <v>73560</v>
      </c>
      <c r="I360" s="166">
        <v>67100</v>
      </c>
      <c r="J360" s="166">
        <v>60630</v>
      </c>
      <c r="K360" s="166">
        <v>54160</v>
      </c>
      <c r="L360" s="167">
        <v>330200</v>
      </c>
    </row>
    <row r="361" spans="1:12">
      <c r="A361" s="164">
        <v>294</v>
      </c>
      <c r="B361" s="165">
        <v>884000</v>
      </c>
      <c r="C361" s="166">
        <v>887000</v>
      </c>
      <c r="D361" s="166">
        <v>102720</v>
      </c>
      <c r="E361" s="166">
        <v>95290</v>
      </c>
      <c r="F361" s="166">
        <v>87860</v>
      </c>
      <c r="G361" s="166">
        <v>80610</v>
      </c>
      <c r="H361" s="166">
        <v>74150</v>
      </c>
      <c r="I361" s="166">
        <v>67680</v>
      </c>
      <c r="J361" s="166">
        <v>61210</v>
      </c>
      <c r="K361" s="166">
        <v>54750</v>
      </c>
      <c r="L361" s="167">
        <v>331700</v>
      </c>
    </row>
    <row r="362" spans="1:12">
      <c r="A362" s="164">
        <v>295</v>
      </c>
      <c r="B362" s="165">
        <v>887000</v>
      </c>
      <c r="C362" s="166">
        <v>890000</v>
      </c>
      <c r="D362" s="166">
        <v>103400</v>
      </c>
      <c r="E362" s="166">
        <v>95960</v>
      </c>
      <c r="F362" s="166">
        <v>88520</v>
      </c>
      <c r="G362" s="166">
        <v>81190</v>
      </c>
      <c r="H362" s="166">
        <v>74730</v>
      </c>
      <c r="I362" s="166">
        <v>68260</v>
      </c>
      <c r="J362" s="166">
        <v>61790</v>
      </c>
      <c r="K362" s="166">
        <v>55330</v>
      </c>
      <c r="L362" s="167">
        <v>333300</v>
      </c>
    </row>
    <row r="363" spans="1:12" ht="14.25" thickBot="1">
      <c r="A363" s="164"/>
      <c r="B363" s="171"/>
      <c r="C363" s="172"/>
      <c r="D363" s="172"/>
      <c r="E363" s="172"/>
      <c r="F363" s="172"/>
      <c r="G363" s="172"/>
      <c r="H363" s="172"/>
      <c r="I363" s="172"/>
      <c r="J363" s="172"/>
      <c r="K363" s="172"/>
      <c r="L363" s="173"/>
    </row>
    <row r="364" spans="1:12">
      <c r="A364" s="164">
        <v>296</v>
      </c>
      <c r="B364" s="165">
        <v>890000</v>
      </c>
      <c r="C364" s="166">
        <v>893000</v>
      </c>
      <c r="D364" s="166">
        <v>104070</v>
      </c>
      <c r="E364" s="166">
        <v>96630</v>
      </c>
      <c r="F364" s="166">
        <v>89190</v>
      </c>
      <c r="G364" s="166">
        <v>81770</v>
      </c>
      <c r="H364" s="166">
        <v>75310</v>
      </c>
      <c r="I364" s="166">
        <v>68850</v>
      </c>
      <c r="J364" s="166">
        <v>62370</v>
      </c>
      <c r="K364" s="166">
        <v>55910</v>
      </c>
      <c r="L364" s="167">
        <v>334800</v>
      </c>
    </row>
    <row r="365" spans="1:12">
      <c r="A365" s="164">
        <v>297</v>
      </c>
      <c r="B365" s="165">
        <v>893000</v>
      </c>
      <c r="C365" s="166">
        <v>896000</v>
      </c>
      <c r="D365" s="166">
        <v>104730</v>
      </c>
      <c r="E365" s="166">
        <v>97300</v>
      </c>
      <c r="F365" s="166">
        <v>89860</v>
      </c>
      <c r="G365" s="166">
        <v>82430</v>
      </c>
      <c r="H365" s="166">
        <v>75890</v>
      </c>
      <c r="I365" s="166">
        <v>69430</v>
      </c>
      <c r="J365" s="166">
        <v>62950</v>
      </c>
      <c r="K365" s="166">
        <v>56490</v>
      </c>
      <c r="L365" s="167">
        <v>336400</v>
      </c>
    </row>
    <row r="366" spans="1:12">
      <c r="A366" s="164">
        <v>298</v>
      </c>
      <c r="B366" s="165">
        <v>896000</v>
      </c>
      <c r="C366" s="166">
        <v>899000</v>
      </c>
      <c r="D366" s="166">
        <v>105410</v>
      </c>
      <c r="E366" s="166">
        <v>97960</v>
      </c>
      <c r="F366" s="166">
        <v>90530</v>
      </c>
      <c r="G366" s="166">
        <v>83100</v>
      </c>
      <c r="H366" s="166">
        <v>76470</v>
      </c>
      <c r="I366" s="166">
        <v>70010</v>
      </c>
      <c r="J366" s="166">
        <v>63540</v>
      </c>
      <c r="K366" s="166">
        <v>57070</v>
      </c>
      <c r="L366" s="167">
        <v>338000</v>
      </c>
    </row>
    <row r="367" spans="1:12">
      <c r="A367" s="164">
        <v>299</v>
      </c>
      <c r="B367" s="165">
        <v>899000</v>
      </c>
      <c r="C367" s="166">
        <v>902000</v>
      </c>
      <c r="D367" s="166">
        <v>106070</v>
      </c>
      <c r="E367" s="166">
        <v>98640</v>
      </c>
      <c r="F367" s="166">
        <v>91210</v>
      </c>
      <c r="G367" s="166">
        <v>83760</v>
      </c>
      <c r="H367" s="166">
        <v>77050</v>
      </c>
      <c r="I367" s="166">
        <v>70590</v>
      </c>
      <c r="J367" s="166">
        <v>64120</v>
      </c>
      <c r="K367" s="166">
        <v>57660</v>
      </c>
      <c r="L367" s="167">
        <v>339500</v>
      </c>
    </row>
    <row r="368" spans="1:12">
      <c r="A368" s="164">
        <v>300</v>
      </c>
      <c r="B368" s="165">
        <v>902000</v>
      </c>
      <c r="C368" s="166">
        <v>905000</v>
      </c>
      <c r="D368" s="166">
        <v>106750</v>
      </c>
      <c r="E368" s="166">
        <v>99300</v>
      </c>
      <c r="F368" s="166">
        <v>91870</v>
      </c>
      <c r="G368" s="166">
        <v>84440</v>
      </c>
      <c r="H368" s="166">
        <v>77640</v>
      </c>
      <c r="I368" s="166">
        <v>71170</v>
      </c>
      <c r="J368" s="166">
        <v>64700</v>
      </c>
      <c r="K368" s="166">
        <v>58240</v>
      </c>
      <c r="L368" s="167">
        <v>341000</v>
      </c>
    </row>
    <row r="369" spans="1:12">
      <c r="A369" s="164"/>
      <c r="B369" s="165"/>
      <c r="C369" s="166"/>
      <c r="D369" s="166"/>
      <c r="E369" s="166"/>
      <c r="F369" s="166"/>
      <c r="G369" s="166"/>
      <c r="H369" s="166"/>
      <c r="I369" s="166"/>
      <c r="J369" s="166"/>
      <c r="K369" s="166"/>
      <c r="L369" s="167"/>
    </row>
    <row r="370" spans="1:12">
      <c r="A370" s="164">
        <v>301</v>
      </c>
      <c r="B370" s="165">
        <v>905000</v>
      </c>
      <c r="C370" s="166">
        <v>908000</v>
      </c>
      <c r="D370" s="166">
        <v>107410</v>
      </c>
      <c r="E370" s="166">
        <v>99980</v>
      </c>
      <c r="F370" s="166">
        <v>92540</v>
      </c>
      <c r="G370" s="166">
        <v>85100</v>
      </c>
      <c r="H370" s="166">
        <v>78220</v>
      </c>
      <c r="I370" s="166">
        <v>71760</v>
      </c>
      <c r="J370" s="166">
        <v>65280</v>
      </c>
      <c r="K370" s="166">
        <v>58820</v>
      </c>
      <c r="L370" s="167">
        <v>342500</v>
      </c>
    </row>
    <row r="371" spans="1:12">
      <c r="A371" s="164">
        <v>302</v>
      </c>
      <c r="B371" s="165">
        <v>908000</v>
      </c>
      <c r="C371" s="166">
        <v>911000</v>
      </c>
      <c r="D371" s="166">
        <v>108080</v>
      </c>
      <c r="E371" s="166">
        <v>100650</v>
      </c>
      <c r="F371" s="166">
        <v>93210</v>
      </c>
      <c r="G371" s="166">
        <v>85770</v>
      </c>
      <c r="H371" s="166">
        <v>78800</v>
      </c>
      <c r="I371" s="166">
        <v>72340</v>
      </c>
      <c r="J371" s="166">
        <v>65860</v>
      </c>
      <c r="K371" s="166">
        <v>59400</v>
      </c>
      <c r="L371" s="167">
        <v>344100</v>
      </c>
    </row>
    <row r="372" spans="1:12">
      <c r="A372" s="164">
        <v>303</v>
      </c>
      <c r="B372" s="165">
        <v>911000</v>
      </c>
      <c r="C372" s="166">
        <v>914000</v>
      </c>
      <c r="D372" s="166">
        <v>108750</v>
      </c>
      <c r="E372" s="166">
        <v>101310</v>
      </c>
      <c r="F372" s="166">
        <v>93880</v>
      </c>
      <c r="G372" s="166">
        <v>86440</v>
      </c>
      <c r="H372" s="166">
        <v>79380</v>
      </c>
      <c r="I372" s="166">
        <v>72920</v>
      </c>
      <c r="J372" s="166">
        <v>66450</v>
      </c>
      <c r="K372" s="166">
        <v>59980</v>
      </c>
      <c r="L372" s="167">
        <v>345600</v>
      </c>
    </row>
    <row r="373" spans="1:12">
      <c r="A373" s="164">
        <v>304</v>
      </c>
      <c r="B373" s="165">
        <v>914000</v>
      </c>
      <c r="C373" s="166">
        <v>917000</v>
      </c>
      <c r="D373" s="166">
        <v>109420</v>
      </c>
      <c r="E373" s="166">
        <v>101990</v>
      </c>
      <c r="F373" s="166">
        <v>94540</v>
      </c>
      <c r="G373" s="166">
        <v>87110</v>
      </c>
      <c r="H373" s="166">
        <v>79960</v>
      </c>
      <c r="I373" s="166">
        <v>73500</v>
      </c>
      <c r="J373" s="166">
        <v>67030</v>
      </c>
      <c r="K373" s="166">
        <v>60570</v>
      </c>
      <c r="L373" s="167">
        <v>347200</v>
      </c>
    </row>
    <row r="374" spans="1:12">
      <c r="A374" s="164">
        <v>305</v>
      </c>
      <c r="B374" s="165">
        <v>917000</v>
      </c>
      <c r="C374" s="166">
        <v>920000</v>
      </c>
      <c r="D374" s="166">
        <v>110090</v>
      </c>
      <c r="E374" s="166">
        <v>102650</v>
      </c>
      <c r="F374" s="166">
        <v>95220</v>
      </c>
      <c r="G374" s="166">
        <v>87790</v>
      </c>
      <c r="H374" s="166">
        <v>80550</v>
      </c>
      <c r="I374" s="166">
        <v>74080</v>
      </c>
      <c r="J374" s="166">
        <v>67610</v>
      </c>
      <c r="K374" s="166">
        <v>61150</v>
      </c>
      <c r="L374" s="167">
        <v>348800</v>
      </c>
    </row>
    <row r="375" spans="1:12">
      <c r="A375" s="164"/>
      <c r="B375" s="165"/>
      <c r="C375" s="166"/>
      <c r="D375" s="166"/>
      <c r="E375" s="166"/>
      <c r="F375" s="166"/>
      <c r="G375" s="166"/>
      <c r="H375" s="166"/>
      <c r="I375" s="166"/>
      <c r="J375" s="166"/>
      <c r="K375" s="166"/>
      <c r="L375" s="167"/>
    </row>
    <row r="376" spans="1:12">
      <c r="A376" s="164">
        <v>306</v>
      </c>
      <c r="B376" s="165">
        <v>920000</v>
      </c>
      <c r="C376" s="166">
        <v>923000</v>
      </c>
      <c r="D376" s="166">
        <v>110760</v>
      </c>
      <c r="E376" s="166">
        <v>103330</v>
      </c>
      <c r="F376" s="166">
        <v>95880</v>
      </c>
      <c r="G376" s="166">
        <v>88450</v>
      </c>
      <c r="H376" s="166">
        <v>81130</v>
      </c>
      <c r="I376" s="166">
        <v>74670</v>
      </c>
      <c r="J376" s="166">
        <v>68190</v>
      </c>
      <c r="K376" s="166">
        <v>61730</v>
      </c>
      <c r="L376" s="167">
        <v>350300</v>
      </c>
    </row>
    <row r="377" spans="1:12">
      <c r="A377" s="164">
        <v>307</v>
      </c>
      <c r="B377" s="165">
        <v>923000</v>
      </c>
      <c r="C377" s="166">
        <v>926000</v>
      </c>
      <c r="D377" s="166">
        <v>111430</v>
      </c>
      <c r="E377" s="166">
        <v>103990</v>
      </c>
      <c r="F377" s="166">
        <v>96560</v>
      </c>
      <c r="G377" s="166">
        <v>89120</v>
      </c>
      <c r="H377" s="166">
        <v>81710</v>
      </c>
      <c r="I377" s="166">
        <v>75250</v>
      </c>
      <c r="J377" s="166">
        <v>68770</v>
      </c>
      <c r="K377" s="166">
        <v>62310</v>
      </c>
      <c r="L377" s="167">
        <v>351800</v>
      </c>
    </row>
    <row r="378" spans="1:12">
      <c r="A378" s="164">
        <v>308</v>
      </c>
      <c r="B378" s="165">
        <v>926000</v>
      </c>
      <c r="C378" s="166">
        <v>929000</v>
      </c>
      <c r="D378" s="166">
        <v>112100</v>
      </c>
      <c r="E378" s="166">
        <v>104660</v>
      </c>
      <c r="F378" s="166">
        <v>97230</v>
      </c>
      <c r="G378" s="166">
        <v>89790</v>
      </c>
      <c r="H378" s="166">
        <v>82350</v>
      </c>
      <c r="I378" s="166">
        <v>75830</v>
      </c>
      <c r="J378" s="166">
        <v>69360</v>
      </c>
      <c r="K378" s="166">
        <v>62890</v>
      </c>
      <c r="L378" s="167">
        <v>353400</v>
      </c>
    </row>
    <row r="379" spans="1:12">
      <c r="A379" s="164">
        <v>309</v>
      </c>
      <c r="B379" s="165">
        <v>929000</v>
      </c>
      <c r="C379" s="166">
        <v>932000</v>
      </c>
      <c r="D379" s="166">
        <v>112770</v>
      </c>
      <c r="E379" s="166">
        <v>105330</v>
      </c>
      <c r="F379" s="166">
        <v>97890</v>
      </c>
      <c r="G379" s="166">
        <v>90460</v>
      </c>
      <c r="H379" s="166">
        <v>83020</v>
      </c>
      <c r="I379" s="166">
        <v>76410</v>
      </c>
      <c r="J379" s="166">
        <v>69940</v>
      </c>
      <c r="K379" s="166">
        <v>63480</v>
      </c>
      <c r="L379" s="167">
        <v>354900</v>
      </c>
    </row>
    <row r="380" spans="1:12">
      <c r="A380" s="164">
        <v>310</v>
      </c>
      <c r="B380" s="165">
        <v>932000</v>
      </c>
      <c r="C380" s="166">
        <v>935000</v>
      </c>
      <c r="D380" s="166">
        <v>113430</v>
      </c>
      <c r="E380" s="166">
        <v>106000</v>
      </c>
      <c r="F380" s="166">
        <v>98570</v>
      </c>
      <c r="G380" s="166">
        <v>91120</v>
      </c>
      <c r="H380" s="166">
        <v>83690</v>
      </c>
      <c r="I380" s="166">
        <v>76990</v>
      </c>
      <c r="J380" s="166">
        <v>70520</v>
      </c>
      <c r="K380" s="166">
        <v>64060</v>
      </c>
      <c r="L380" s="167">
        <v>356500</v>
      </c>
    </row>
    <row r="381" spans="1:12">
      <c r="A381" s="164"/>
      <c r="B381" s="165"/>
      <c r="C381" s="166"/>
      <c r="D381" s="166"/>
      <c r="E381" s="166"/>
      <c r="F381" s="166"/>
      <c r="G381" s="166"/>
      <c r="H381" s="166"/>
      <c r="I381" s="166"/>
      <c r="J381" s="166"/>
      <c r="K381" s="166"/>
      <c r="L381" s="167"/>
    </row>
    <row r="382" spans="1:12">
      <c r="A382" s="164">
        <v>311</v>
      </c>
      <c r="B382" s="165">
        <v>935000</v>
      </c>
      <c r="C382" s="166">
        <v>938000</v>
      </c>
      <c r="D382" s="166">
        <v>114110</v>
      </c>
      <c r="E382" s="166">
        <v>106670</v>
      </c>
      <c r="F382" s="166">
        <v>99230</v>
      </c>
      <c r="G382" s="166">
        <v>91800</v>
      </c>
      <c r="H382" s="166">
        <v>84360</v>
      </c>
      <c r="I382" s="166">
        <v>77580</v>
      </c>
      <c r="J382" s="166">
        <v>71100</v>
      </c>
      <c r="K382" s="166">
        <v>64640</v>
      </c>
      <c r="L382" s="167">
        <v>358100</v>
      </c>
    </row>
    <row r="383" spans="1:12">
      <c r="A383" s="164">
        <v>312</v>
      </c>
      <c r="B383" s="165">
        <v>938000</v>
      </c>
      <c r="C383" s="166">
        <v>941000</v>
      </c>
      <c r="D383" s="166">
        <v>114770</v>
      </c>
      <c r="E383" s="166">
        <v>107340</v>
      </c>
      <c r="F383" s="166">
        <v>99900</v>
      </c>
      <c r="G383" s="166">
        <v>92460</v>
      </c>
      <c r="H383" s="166">
        <v>85030</v>
      </c>
      <c r="I383" s="166">
        <v>78160</v>
      </c>
      <c r="J383" s="166">
        <v>71680</v>
      </c>
      <c r="K383" s="166">
        <v>65220</v>
      </c>
      <c r="L383" s="167">
        <v>359600</v>
      </c>
    </row>
    <row r="384" spans="1:12">
      <c r="A384" s="164">
        <v>313</v>
      </c>
      <c r="B384" s="165">
        <v>941000</v>
      </c>
      <c r="C384" s="166">
        <v>944000</v>
      </c>
      <c r="D384" s="166">
        <v>115440</v>
      </c>
      <c r="E384" s="166">
        <v>108010</v>
      </c>
      <c r="F384" s="166">
        <v>100570</v>
      </c>
      <c r="G384" s="166">
        <v>93140</v>
      </c>
      <c r="H384" s="166">
        <v>85700</v>
      </c>
      <c r="I384" s="166">
        <v>78740</v>
      </c>
      <c r="J384" s="166">
        <v>72270</v>
      </c>
      <c r="K384" s="166">
        <v>65800</v>
      </c>
      <c r="L384" s="167">
        <v>361100</v>
      </c>
    </row>
    <row r="385" spans="1:12">
      <c r="A385" s="164">
        <v>314</v>
      </c>
      <c r="B385" s="165">
        <v>944000</v>
      </c>
      <c r="C385" s="166">
        <v>947000</v>
      </c>
      <c r="D385" s="166">
        <v>116110</v>
      </c>
      <c r="E385" s="166">
        <v>108680</v>
      </c>
      <c r="F385" s="166">
        <v>101240</v>
      </c>
      <c r="G385" s="166">
        <v>93800</v>
      </c>
      <c r="H385" s="166">
        <v>86370</v>
      </c>
      <c r="I385" s="166">
        <v>79320</v>
      </c>
      <c r="J385" s="166">
        <v>72850</v>
      </c>
      <c r="K385" s="166">
        <v>66390</v>
      </c>
      <c r="L385" s="167">
        <v>362700</v>
      </c>
    </row>
    <row r="386" spans="1:12">
      <c r="A386" s="164">
        <v>315</v>
      </c>
      <c r="B386" s="165">
        <v>947000</v>
      </c>
      <c r="C386" s="166">
        <v>950000</v>
      </c>
      <c r="D386" s="166">
        <v>116780</v>
      </c>
      <c r="E386" s="166">
        <v>109350</v>
      </c>
      <c r="F386" s="166">
        <v>101910</v>
      </c>
      <c r="G386" s="166">
        <v>94470</v>
      </c>
      <c r="H386" s="166">
        <v>87040</v>
      </c>
      <c r="I386" s="166">
        <v>79900</v>
      </c>
      <c r="J386" s="166">
        <v>73430</v>
      </c>
      <c r="K386" s="166">
        <v>66970</v>
      </c>
      <c r="L386" s="167">
        <v>364200</v>
      </c>
    </row>
    <row r="387" spans="1:12">
      <c r="A387" s="164"/>
      <c r="B387" s="165"/>
      <c r="C387" s="166"/>
      <c r="D387" s="166"/>
      <c r="E387" s="166"/>
      <c r="F387" s="166"/>
      <c r="G387" s="166"/>
      <c r="H387" s="166"/>
      <c r="I387" s="166"/>
      <c r="J387" s="166"/>
      <c r="K387" s="166"/>
      <c r="L387" s="167"/>
    </row>
    <row r="388" spans="1:12">
      <c r="A388" s="164">
        <v>316</v>
      </c>
      <c r="B388" s="165">
        <v>950000</v>
      </c>
      <c r="C388" s="166">
        <v>953000</v>
      </c>
      <c r="D388" s="166">
        <v>117460</v>
      </c>
      <c r="E388" s="166">
        <v>110010</v>
      </c>
      <c r="F388" s="166">
        <v>102580</v>
      </c>
      <c r="G388" s="166">
        <v>95150</v>
      </c>
      <c r="H388" s="166">
        <v>87700</v>
      </c>
      <c r="I388" s="166">
        <v>80490</v>
      </c>
      <c r="J388" s="166">
        <v>74010</v>
      </c>
      <c r="K388" s="166">
        <v>67550</v>
      </c>
      <c r="L388" s="167">
        <v>365700</v>
      </c>
    </row>
    <row r="389" spans="1:12">
      <c r="A389" s="164">
        <v>317</v>
      </c>
      <c r="B389" s="165">
        <v>953000</v>
      </c>
      <c r="C389" s="166">
        <v>956000</v>
      </c>
      <c r="D389" s="166">
        <v>118120</v>
      </c>
      <c r="E389" s="166">
        <v>110690</v>
      </c>
      <c r="F389" s="166">
        <v>103240</v>
      </c>
      <c r="G389" s="166">
        <v>95810</v>
      </c>
      <c r="H389" s="166">
        <v>88380</v>
      </c>
      <c r="I389" s="166">
        <v>81070</v>
      </c>
      <c r="J389" s="166">
        <v>74590</v>
      </c>
      <c r="K389" s="166">
        <v>68130</v>
      </c>
      <c r="L389" s="167">
        <v>367400</v>
      </c>
    </row>
    <row r="390" spans="1:12">
      <c r="A390" s="164">
        <v>318</v>
      </c>
      <c r="B390" s="165">
        <v>956000</v>
      </c>
      <c r="C390" s="166">
        <v>959000</v>
      </c>
      <c r="D390" s="166">
        <v>118790</v>
      </c>
      <c r="E390" s="166">
        <v>111350</v>
      </c>
      <c r="F390" s="166">
        <v>103920</v>
      </c>
      <c r="G390" s="166">
        <v>96480</v>
      </c>
      <c r="H390" s="166">
        <v>89040</v>
      </c>
      <c r="I390" s="166">
        <v>81650</v>
      </c>
      <c r="J390" s="166">
        <v>75180</v>
      </c>
      <c r="K390" s="166">
        <v>68710</v>
      </c>
      <c r="L390" s="167">
        <v>368900</v>
      </c>
    </row>
    <row r="391" spans="1:12">
      <c r="A391" s="164">
        <v>319</v>
      </c>
      <c r="B391" s="165">
        <v>959000</v>
      </c>
      <c r="C391" s="166">
        <v>962000</v>
      </c>
      <c r="D391" s="166">
        <v>119460</v>
      </c>
      <c r="E391" s="166">
        <v>112020</v>
      </c>
      <c r="F391" s="166">
        <v>104590</v>
      </c>
      <c r="G391" s="166">
        <v>97150</v>
      </c>
      <c r="H391" s="166">
        <v>89720</v>
      </c>
      <c r="I391" s="166">
        <v>82280</v>
      </c>
      <c r="J391" s="166">
        <v>75760</v>
      </c>
      <c r="K391" s="166">
        <v>69300</v>
      </c>
      <c r="L391" s="167">
        <v>370400</v>
      </c>
    </row>
    <row r="392" spans="1:12">
      <c r="A392" s="164">
        <v>320</v>
      </c>
      <c r="B392" s="165">
        <v>962000</v>
      </c>
      <c r="C392" s="166">
        <v>965000</v>
      </c>
      <c r="D392" s="166">
        <v>120130</v>
      </c>
      <c r="E392" s="166">
        <v>112690</v>
      </c>
      <c r="F392" s="166">
        <v>105250</v>
      </c>
      <c r="G392" s="166">
        <v>97820</v>
      </c>
      <c r="H392" s="166">
        <v>90380</v>
      </c>
      <c r="I392" s="166">
        <v>82950</v>
      </c>
      <c r="J392" s="166">
        <v>76340</v>
      </c>
      <c r="K392" s="166">
        <v>69880</v>
      </c>
      <c r="L392" s="167">
        <v>372000</v>
      </c>
    </row>
    <row r="393" spans="1:12">
      <c r="A393" s="164"/>
      <c r="B393" s="165"/>
      <c r="C393" s="166"/>
      <c r="D393" s="166"/>
      <c r="E393" s="166"/>
      <c r="F393" s="166"/>
      <c r="G393" s="166"/>
      <c r="H393" s="166"/>
      <c r="I393" s="166"/>
      <c r="J393" s="166"/>
      <c r="K393" s="166"/>
      <c r="L393" s="167"/>
    </row>
    <row r="394" spans="1:12">
      <c r="A394" s="164">
        <v>321</v>
      </c>
      <c r="B394" s="165">
        <v>965000</v>
      </c>
      <c r="C394" s="166">
        <v>968000</v>
      </c>
      <c r="D394" s="166">
        <v>120790</v>
      </c>
      <c r="E394" s="166">
        <v>113360</v>
      </c>
      <c r="F394" s="166">
        <v>105930</v>
      </c>
      <c r="G394" s="166">
        <v>98490</v>
      </c>
      <c r="H394" s="166">
        <v>91050</v>
      </c>
      <c r="I394" s="166">
        <v>83620</v>
      </c>
      <c r="J394" s="166">
        <v>76920</v>
      </c>
      <c r="K394" s="166">
        <v>70460</v>
      </c>
      <c r="L394" s="167">
        <v>373500</v>
      </c>
    </row>
    <row r="395" spans="1:12">
      <c r="A395" s="164">
        <v>322</v>
      </c>
      <c r="B395" s="165">
        <v>968000</v>
      </c>
      <c r="C395" s="166">
        <v>971000</v>
      </c>
      <c r="D395" s="166">
        <v>121470</v>
      </c>
      <c r="E395" s="166">
        <v>114040</v>
      </c>
      <c r="F395" s="166">
        <v>106590</v>
      </c>
      <c r="G395" s="166">
        <v>99160</v>
      </c>
      <c r="H395" s="166">
        <v>91730</v>
      </c>
      <c r="I395" s="166">
        <v>84280</v>
      </c>
      <c r="J395" s="166">
        <v>77500</v>
      </c>
      <c r="K395" s="166">
        <v>71040</v>
      </c>
      <c r="L395" s="167">
        <v>375000</v>
      </c>
    </row>
    <row r="396" spans="1:12">
      <c r="A396" s="164">
        <v>323</v>
      </c>
      <c r="B396" s="165">
        <v>971000</v>
      </c>
      <c r="C396" s="166">
        <v>974000</v>
      </c>
      <c r="D396" s="166">
        <v>122190</v>
      </c>
      <c r="E396" s="166">
        <v>114700</v>
      </c>
      <c r="F396" s="166">
        <v>107270</v>
      </c>
      <c r="G396" s="166">
        <v>99820</v>
      </c>
      <c r="H396" s="166">
        <v>92390</v>
      </c>
      <c r="I396" s="166">
        <v>84960</v>
      </c>
      <c r="J396" s="166">
        <v>78090</v>
      </c>
      <c r="K396" s="166">
        <v>71620</v>
      </c>
      <c r="L396" s="167">
        <v>376500</v>
      </c>
    </row>
    <row r="397" spans="1:12">
      <c r="A397" s="164">
        <v>324</v>
      </c>
      <c r="B397" s="165">
        <v>974000</v>
      </c>
      <c r="C397" s="166">
        <v>977000</v>
      </c>
      <c r="D397" s="166">
        <v>123150</v>
      </c>
      <c r="E397" s="166">
        <v>115370</v>
      </c>
      <c r="F397" s="166">
        <v>107930</v>
      </c>
      <c r="G397" s="166">
        <v>100500</v>
      </c>
      <c r="H397" s="166">
        <v>93060</v>
      </c>
      <c r="I397" s="166">
        <v>85620</v>
      </c>
      <c r="J397" s="166">
        <v>78670</v>
      </c>
      <c r="K397" s="166">
        <v>72210</v>
      </c>
      <c r="L397" s="167">
        <v>378200</v>
      </c>
    </row>
    <row r="398" spans="1:12">
      <c r="A398" s="164">
        <v>325</v>
      </c>
      <c r="B398" s="165">
        <v>977000</v>
      </c>
      <c r="C398" s="166">
        <v>980000</v>
      </c>
      <c r="D398" s="166">
        <v>124110</v>
      </c>
      <c r="E398" s="166">
        <v>116040</v>
      </c>
      <c r="F398" s="166">
        <v>108600</v>
      </c>
      <c r="G398" s="166">
        <v>101170</v>
      </c>
      <c r="H398" s="166">
        <v>93730</v>
      </c>
      <c r="I398" s="166">
        <v>86290</v>
      </c>
      <c r="J398" s="166">
        <v>79250</v>
      </c>
      <c r="K398" s="166">
        <v>72790</v>
      </c>
      <c r="L398" s="167">
        <v>379700</v>
      </c>
    </row>
    <row r="399" spans="1:12">
      <c r="A399" s="164"/>
      <c r="B399" s="165"/>
      <c r="C399" s="166"/>
      <c r="D399" s="166"/>
      <c r="E399" s="166"/>
      <c r="F399" s="166"/>
      <c r="G399" s="166"/>
      <c r="H399" s="166"/>
      <c r="I399" s="166"/>
      <c r="J399" s="166"/>
      <c r="K399" s="166"/>
      <c r="L399" s="167"/>
    </row>
    <row r="400" spans="1:12">
      <c r="A400" s="164">
        <v>326</v>
      </c>
      <c r="B400" s="165">
        <v>980000</v>
      </c>
      <c r="C400" s="166">
        <v>983000</v>
      </c>
      <c r="D400" s="166">
        <v>125070</v>
      </c>
      <c r="E400" s="166">
        <v>116710</v>
      </c>
      <c r="F400" s="166">
        <v>109270</v>
      </c>
      <c r="G400" s="166">
        <v>101830</v>
      </c>
      <c r="H400" s="166">
        <v>94400</v>
      </c>
      <c r="I400" s="166">
        <v>86960</v>
      </c>
      <c r="J400" s="166">
        <v>79830</v>
      </c>
      <c r="K400" s="166">
        <v>73370</v>
      </c>
      <c r="L400" s="167">
        <v>381200</v>
      </c>
    </row>
    <row r="401" spans="1:12">
      <c r="A401" s="164">
        <v>327</v>
      </c>
      <c r="B401" s="165">
        <v>983000</v>
      </c>
      <c r="C401" s="166">
        <v>986000</v>
      </c>
      <c r="D401" s="166">
        <v>126030</v>
      </c>
      <c r="E401" s="166">
        <v>117370</v>
      </c>
      <c r="F401" s="166">
        <v>109940</v>
      </c>
      <c r="G401" s="166">
        <v>102510</v>
      </c>
      <c r="H401" s="166">
        <v>95070</v>
      </c>
      <c r="I401" s="166">
        <v>87630</v>
      </c>
      <c r="J401" s="166">
        <v>80410</v>
      </c>
      <c r="K401" s="166">
        <v>73950</v>
      </c>
      <c r="L401" s="167">
        <v>382800</v>
      </c>
    </row>
    <row r="402" spans="1:12">
      <c r="A402" s="164">
        <v>328</v>
      </c>
      <c r="B402" s="165">
        <v>986000</v>
      </c>
      <c r="C402" s="166">
        <v>989000</v>
      </c>
      <c r="D402" s="166">
        <v>126990</v>
      </c>
      <c r="E402" s="166">
        <v>118050</v>
      </c>
      <c r="F402" s="166">
        <v>110620</v>
      </c>
      <c r="G402" s="166">
        <v>103170</v>
      </c>
      <c r="H402" s="166">
        <v>95740</v>
      </c>
      <c r="I402" s="166">
        <v>88300</v>
      </c>
      <c r="J402" s="166">
        <v>81000</v>
      </c>
      <c r="K402" s="166">
        <v>74530</v>
      </c>
      <c r="L402" s="167">
        <v>384300</v>
      </c>
    </row>
    <row r="403" spans="1:12">
      <c r="A403" s="164">
        <v>329</v>
      </c>
      <c r="B403" s="165">
        <v>989000</v>
      </c>
      <c r="C403" s="166">
        <v>992000</v>
      </c>
      <c r="D403" s="166">
        <v>127950</v>
      </c>
      <c r="E403" s="166">
        <v>118710</v>
      </c>
      <c r="F403" s="166">
        <v>111280</v>
      </c>
      <c r="G403" s="166">
        <v>103850</v>
      </c>
      <c r="H403" s="166">
        <v>96400</v>
      </c>
      <c r="I403" s="166">
        <v>88970</v>
      </c>
      <c r="J403" s="166">
        <v>81580</v>
      </c>
      <c r="K403" s="166">
        <v>75110</v>
      </c>
      <c r="L403" s="167">
        <v>385800</v>
      </c>
    </row>
    <row r="404" spans="1:12">
      <c r="A404" s="164">
        <v>330</v>
      </c>
      <c r="B404" s="165">
        <v>992000</v>
      </c>
      <c r="C404" s="166">
        <v>995000</v>
      </c>
      <c r="D404" s="166">
        <v>128910</v>
      </c>
      <c r="E404" s="166">
        <v>119390</v>
      </c>
      <c r="F404" s="166">
        <v>111950</v>
      </c>
      <c r="G404" s="166">
        <v>104510</v>
      </c>
      <c r="H404" s="166">
        <v>97080</v>
      </c>
      <c r="I404" s="166">
        <v>89640</v>
      </c>
      <c r="J404" s="166">
        <v>82200</v>
      </c>
      <c r="K404" s="166">
        <v>75700</v>
      </c>
      <c r="L404" s="167">
        <v>387500</v>
      </c>
    </row>
    <row r="405" spans="1:12">
      <c r="A405" s="164"/>
      <c r="B405" s="165"/>
      <c r="C405" s="166"/>
      <c r="D405" s="166"/>
      <c r="E405" s="166"/>
      <c r="F405" s="166"/>
      <c r="G405" s="166"/>
      <c r="H405" s="166"/>
      <c r="I405" s="166"/>
      <c r="J405" s="166"/>
      <c r="K405" s="166"/>
      <c r="L405" s="167"/>
    </row>
    <row r="406" spans="1:12">
      <c r="A406" s="164">
        <v>331</v>
      </c>
      <c r="B406" s="165">
        <v>995000</v>
      </c>
      <c r="C406" s="166">
        <v>998000</v>
      </c>
      <c r="D406" s="166">
        <v>129870</v>
      </c>
      <c r="E406" s="166">
        <v>120060</v>
      </c>
      <c r="F406" s="166">
        <v>112620</v>
      </c>
      <c r="G406" s="166">
        <v>105180</v>
      </c>
      <c r="H406" s="166">
        <v>97740</v>
      </c>
      <c r="I406" s="166">
        <v>90310</v>
      </c>
      <c r="J406" s="166">
        <v>82870</v>
      </c>
      <c r="K406" s="166">
        <v>76280</v>
      </c>
      <c r="L406" s="167">
        <v>389000</v>
      </c>
    </row>
    <row r="407" spans="1:12">
      <c r="A407" s="164">
        <v>332</v>
      </c>
      <c r="B407" s="165">
        <v>998000</v>
      </c>
      <c r="C407" s="166">
        <v>1001000</v>
      </c>
      <c r="D407" s="166">
        <v>130830</v>
      </c>
      <c r="E407" s="166">
        <v>120720</v>
      </c>
      <c r="F407" s="166">
        <v>113290</v>
      </c>
      <c r="G407" s="166">
        <v>105850</v>
      </c>
      <c r="H407" s="166">
        <v>98410</v>
      </c>
      <c r="I407" s="166">
        <v>90980</v>
      </c>
      <c r="J407" s="166">
        <v>83540</v>
      </c>
      <c r="K407" s="166">
        <v>76860</v>
      </c>
      <c r="L407" s="167">
        <v>390500</v>
      </c>
    </row>
    <row r="408" spans="1:12">
      <c r="A408" s="164">
        <v>333</v>
      </c>
      <c r="B408" s="165">
        <v>1001000</v>
      </c>
      <c r="C408" s="166">
        <v>1004000</v>
      </c>
      <c r="D408" s="166">
        <v>131790</v>
      </c>
      <c r="E408" s="166">
        <v>121400</v>
      </c>
      <c r="F408" s="166">
        <v>113950</v>
      </c>
      <c r="G408" s="166">
        <v>106520</v>
      </c>
      <c r="H408" s="166">
        <v>99090</v>
      </c>
      <c r="I408" s="166">
        <v>91640</v>
      </c>
      <c r="J408" s="166">
        <v>84210</v>
      </c>
      <c r="K408" s="166">
        <v>77440</v>
      </c>
      <c r="L408" s="167">
        <v>392100</v>
      </c>
    </row>
    <row r="409" spans="1:12">
      <c r="A409" s="164">
        <v>334</v>
      </c>
      <c r="B409" s="165">
        <v>1004000</v>
      </c>
      <c r="C409" s="166">
        <v>1007000</v>
      </c>
      <c r="D409" s="166">
        <v>132750</v>
      </c>
      <c r="E409" s="166">
        <v>122080</v>
      </c>
      <c r="F409" s="166">
        <v>114630</v>
      </c>
      <c r="G409" s="166">
        <v>107180</v>
      </c>
      <c r="H409" s="166">
        <v>99750</v>
      </c>
      <c r="I409" s="166">
        <v>92320</v>
      </c>
      <c r="J409" s="166">
        <v>84880</v>
      </c>
      <c r="K409" s="166">
        <v>78020</v>
      </c>
      <c r="L409" s="167">
        <v>393600</v>
      </c>
    </row>
    <row r="410" spans="1:12">
      <c r="A410" s="164">
        <v>335</v>
      </c>
      <c r="B410" s="165">
        <v>1007000</v>
      </c>
      <c r="C410" s="166">
        <v>1010000</v>
      </c>
      <c r="D410" s="166">
        <v>133710</v>
      </c>
      <c r="E410" s="166">
        <v>123040</v>
      </c>
      <c r="F410" s="166">
        <v>115290</v>
      </c>
      <c r="G410" s="166">
        <v>107860</v>
      </c>
      <c r="H410" s="166">
        <v>100430</v>
      </c>
      <c r="I410" s="166">
        <v>92980</v>
      </c>
      <c r="J410" s="166">
        <v>85550</v>
      </c>
      <c r="K410" s="166">
        <v>78610</v>
      </c>
      <c r="L410" s="167">
        <v>395100</v>
      </c>
    </row>
    <row r="411" spans="1:12">
      <c r="A411" s="164"/>
      <c r="B411" s="174"/>
      <c r="C411" s="175"/>
      <c r="D411" s="166"/>
      <c r="E411" s="166"/>
      <c r="F411" s="166"/>
      <c r="G411" s="166"/>
      <c r="H411" s="166"/>
      <c r="I411" s="166"/>
      <c r="J411" s="166"/>
      <c r="K411" s="166"/>
      <c r="L411" s="167"/>
    </row>
    <row r="412" spans="1:12">
      <c r="B412" s="1010" t="s">
        <v>100</v>
      </c>
      <c r="C412" s="1011"/>
      <c r="D412" s="176">
        <v>134190</v>
      </c>
      <c r="E412" s="176">
        <v>123520</v>
      </c>
      <c r="F412" s="176">
        <v>115630</v>
      </c>
      <c r="G412" s="176">
        <v>108200</v>
      </c>
      <c r="H412" s="176">
        <v>100750</v>
      </c>
      <c r="I412" s="176">
        <v>93320</v>
      </c>
      <c r="J412" s="176">
        <v>85890</v>
      </c>
      <c r="K412" s="176">
        <v>78890</v>
      </c>
      <c r="L412" s="177">
        <v>396700</v>
      </c>
    </row>
    <row r="413" spans="1:12">
      <c r="B413" s="178"/>
      <c r="C413" s="179"/>
      <c r="D413" s="180"/>
      <c r="E413" s="180"/>
      <c r="F413" s="180"/>
      <c r="G413" s="180"/>
      <c r="H413" s="180"/>
      <c r="I413" s="180"/>
      <c r="J413" s="180"/>
      <c r="K413" s="180"/>
      <c r="L413" s="181"/>
    </row>
    <row r="414" spans="1:12">
      <c r="B414" s="406"/>
      <c r="C414" s="407"/>
      <c r="D414" s="408"/>
      <c r="E414" s="409"/>
      <c r="F414" s="409"/>
      <c r="G414" s="409"/>
      <c r="H414" s="409"/>
      <c r="I414" s="409"/>
      <c r="J414" s="409"/>
      <c r="K414" s="410"/>
      <c r="L414" s="411"/>
    </row>
    <row r="415" spans="1:12" ht="13.5" customHeight="1">
      <c r="B415" s="185" t="s">
        <v>174</v>
      </c>
      <c r="C415" s="186"/>
      <c r="D415" s="412"/>
      <c r="E415" s="192"/>
      <c r="F415" s="192"/>
      <c r="G415" s="192"/>
      <c r="H415" s="192"/>
      <c r="I415" s="192"/>
      <c r="J415" s="192"/>
      <c r="K415" s="189"/>
      <c r="L415" s="1014" t="s">
        <v>236</v>
      </c>
    </row>
    <row r="416" spans="1:12">
      <c r="B416" s="190"/>
      <c r="C416" s="189"/>
      <c r="D416" s="191" t="s">
        <v>101</v>
      </c>
      <c r="E416" s="412"/>
      <c r="F416" s="412"/>
      <c r="G416" s="412"/>
      <c r="H416" s="412"/>
      <c r="I416" s="412"/>
      <c r="J416" s="412"/>
      <c r="K416" s="186"/>
      <c r="L416" s="1014"/>
    </row>
    <row r="417" spans="1:12">
      <c r="B417" s="413"/>
      <c r="C417" s="186"/>
      <c r="D417" s="187"/>
      <c r="E417" s="188"/>
      <c r="F417" s="188"/>
      <c r="G417" s="188"/>
      <c r="H417" s="188"/>
      <c r="I417" s="188"/>
      <c r="J417" s="188"/>
      <c r="K417" s="189"/>
      <c r="L417" s="1014"/>
    </row>
    <row r="418" spans="1:12">
      <c r="B418" s="185" t="s">
        <v>175</v>
      </c>
      <c r="C418" s="194"/>
      <c r="D418" s="412"/>
      <c r="E418" s="192"/>
      <c r="F418" s="192"/>
      <c r="G418" s="192"/>
      <c r="H418" s="192"/>
      <c r="I418" s="192"/>
      <c r="J418" s="192"/>
      <c r="K418" s="186"/>
      <c r="L418" s="1014"/>
    </row>
    <row r="419" spans="1:12">
      <c r="B419" s="413"/>
      <c r="C419" s="186"/>
      <c r="D419" s="191" t="s">
        <v>237</v>
      </c>
      <c r="E419" s="188"/>
      <c r="F419" s="188"/>
      <c r="G419" s="188"/>
      <c r="H419" s="188"/>
      <c r="I419" s="188"/>
      <c r="J419" s="188"/>
      <c r="K419" s="189"/>
      <c r="L419" s="1014"/>
    </row>
    <row r="420" spans="1:12">
      <c r="B420" s="185"/>
      <c r="C420" s="186"/>
      <c r="D420" s="187"/>
      <c r="E420" s="188"/>
      <c r="F420" s="188"/>
      <c r="G420" s="188"/>
      <c r="H420" s="188"/>
      <c r="I420" s="188"/>
      <c r="J420" s="188"/>
      <c r="K420" s="189"/>
      <c r="L420" s="1014"/>
    </row>
    <row r="421" spans="1:12">
      <c r="B421" s="185" t="s">
        <v>102</v>
      </c>
      <c r="C421" s="186"/>
      <c r="D421" s="187"/>
      <c r="E421" s="188"/>
      <c r="F421" s="188"/>
      <c r="G421" s="188"/>
      <c r="H421" s="188"/>
      <c r="I421" s="188"/>
      <c r="J421" s="188"/>
      <c r="K421" s="189"/>
      <c r="L421" s="1014"/>
    </row>
    <row r="422" spans="1:12">
      <c r="B422" s="413"/>
      <c r="C422" s="186"/>
      <c r="D422" s="187"/>
      <c r="E422" s="188"/>
      <c r="F422" s="188"/>
      <c r="G422" s="188"/>
      <c r="H422" s="188"/>
      <c r="I422" s="188"/>
      <c r="J422" s="188"/>
      <c r="K422" s="189"/>
      <c r="L422" s="1014"/>
    </row>
    <row r="423" spans="1:12" ht="13.5" customHeight="1" thickBot="1">
      <c r="B423" s="414"/>
      <c r="C423" s="415"/>
      <c r="D423" s="416"/>
      <c r="E423" s="417"/>
      <c r="F423" s="417"/>
      <c r="G423" s="417"/>
      <c r="H423" s="417"/>
      <c r="I423" s="417"/>
      <c r="J423" s="417"/>
      <c r="K423" s="418"/>
      <c r="L423" s="1015"/>
    </row>
    <row r="424" spans="1:12">
      <c r="B424" s="419" t="s">
        <v>238</v>
      </c>
      <c r="C424" s="198"/>
      <c r="D424" s="180">
        <v>211380</v>
      </c>
      <c r="E424" s="180">
        <v>200710</v>
      </c>
      <c r="F424" s="180">
        <v>192820</v>
      </c>
      <c r="G424" s="180">
        <v>185390</v>
      </c>
      <c r="H424" s="180">
        <v>177940</v>
      </c>
      <c r="I424" s="180">
        <v>170510</v>
      </c>
      <c r="J424" s="180">
        <v>163080</v>
      </c>
      <c r="K424" s="180">
        <v>156080</v>
      </c>
      <c r="L424" s="420">
        <v>494800</v>
      </c>
    </row>
    <row r="425" spans="1:12">
      <c r="B425" s="190"/>
      <c r="C425" s="189"/>
      <c r="D425" s="182"/>
      <c r="E425" s="183"/>
      <c r="F425" s="183"/>
      <c r="G425" s="183"/>
      <c r="H425" s="183"/>
      <c r="I425" s="183"/>
      <c r="J425" s="183"/>
      <c r="K425" s="184"/>
      <c r="L425" s="404"/>
    </row>
    <row r="426" spans="1:12">
      <c r="B426" s="421" t="s">
        <v>176</v>
      </c>
      <c r="C426" s="186"/>
      <c r="D426" s="187"/>
      <c r="E426" s="188"/>
      <c r="F426" s="188"/>
      <c r="G426" s="188"/>
      <c r="H426" s="188"/>
      <c r="I426" s="188"/>
      <c r="J426" s="188"/>
      <c r="K426" s="189"/>
      <c r="L426" s="1016" t="s">
        <v>239</v>
      </c>
    </row>
    <row r="427" spans="1:12">
      <c r="B427" s="190"/>
      <c r="C427" s="189"/>
      <c r="D427" s="191" t="s">
        <v>177</v>
      </c>
      <c r="E427" s="192"/>
      <c r="F427" s="192"/>
      <c r="G427" s="192"/>
      <c r="H427" s="192"/>
      <c r="I427" s="192"/>
      <c r="J427" s="192"/>
      <c r="K427" s="186"/>
      <c r="L427" s="1017"/>
    </row>
    <row r="428" spans="1:12">
      <c r="B428" s="185" t="s">
        <v>178</v>
      </c>
      <c r="C428" s="186"/>
      <c r="D428" s="187"/>
      <c r="E428" s="188"/>
      <c r="F428" s="188"/>
      <c r="G428" s="188"/>
      <c r="H428" s="188"/>
      <c r="I428" s="188"/>
      <c r="J428" s="188"/>
      <c r="K428" s="189"/>
      <c r="L428" s="1017"/>
    </row>
    <row r="429" spans="1:12">
      <c r="B429" s="193"/>
      <c r="C429" s="194"/>
      <c r="D429" s="422" t="s">
        <v>240</v>
      </c>
      <c r="E429" s="192"/>
      <c r="F429" s="192"/>
      <c r="G429" s="192"/>
      <c r="H429" s="192"/>
      <c r="I429" s="192"/>
      <c r="J429" s="192"/>
      <c r="K429" s="186"/>
      <c r="L429" s="1017"/>
    </row>
    <row r="430" spans="1:12">
      <c r="A430" s="138"/>
      <c r="B430" s="185" t="s">
        <v>102</v>
      </c>
      <c r="C430" s="186"/>
      <c r="D430" s="187"/>
      <c r="E430" s="188"/>
      <c r="F430" s="188"/>
      <c r="G430" s="188"/>
      <c r="H430" s="188"/>
      <c r="I430" s="188"/>
      <c r="J430" s="188"/>
      <c r="K430" s="189"/>
      <c r="L430" s="1017"/>
    </row>
    <row r="431" spans="1:12">
      <c r="A431" s="138"/>
      <c r="B431" s="199"/>
      <c r="C431" s="200"/>
      <c r="D431" s="201"/>
      <c r="E431" s="202"/>
      <c r="F431" s="202"/>
      <c r="G431" s="202"/>
      <c r="H431" s="202"/>
      <c r="I431" s="202"/>
      <c r="J431" s="202"/>
      <c r="K431" s="198"/>
      <c r="L431" s="1017"/>
    </row>
    <row r="432" spans="1:12">
      <c r="A432" s="138"/>
      <c r="B432" s="195" t="s">
        <v>103</v>
      </c>
      <c r="C432" s="196"/>
      <c r="D432" s="423" t="s">
        <v>43</v>
      </c>
      <c r="E432" s="423" t="s">
        <v>43</v>
      </c>
      <c r="F432" s="423" t="s">
        <v>43</v>
      </c>
      <c r="G432" s="423" t="s">
        <v>43</v>
      </c>
      <c r="H432" s="423" t="s">
        <v>43</v>
      </c>
      <c r="I432" s="423" t="s">
        <v>43</v>
      </c>
      <c r="J432" s="423" t="s">
        <v>43</v>
      </c>
      <c r="K432" s="423" t="s">
        <v>43</v>
      </c>
      <c r="L432" s="1017"/>
    </row>
    <row r="433" spans="1:12">
      <c r="A433" s="138"/>
      <c r="B433" s="197" t="s">
        <v>179</v>
      </c>
      <c r="C433" s="198"/>
      <c r="D433" s="180">
        <v>376480</v>
      </c>
      <c r="E433" s="180">
        <v>365810</v>
      </c>
      <c r="F433" s="180">
        <v>357920</v>
      </c>
      <c r="G433" s="180">
        <v>350490</v>
      </c>
      <c r="H433" s="180">
        <v>343040</v>
      </c>
      <c r="I433" s="180">
        <v>335610</v>
      </c>
      <c r="J433" s="180">
        <v>328180</v>
      </c>
      <c r="K433" s="180">
        <v>321180</v>
      </c>
      <c r="L433" s="1017"/>
    </row>
    <row r="434" spans="1:12">
      <c r="B434" s="190"/>
      <c r="C434" s="189"/>
      <c r="D434" s="182"/>
      <c r="E434" s="183"/>
      <c r="F434" s="183"/>
      <c r="G434" s="183"/>
      <c r="H434" s="183"/>
      <c r="I434" s="183"/>
      <c r="J434" s="183"/>
      <c r="K434" s="184"/>
      <c r="L434" s="1017"/>
    </row>
    <row r="435" spans="1:12">
      <c r="B435" s="421" t="s">
        <v>241</v>
      </c>
      <c r="C435" s="186"/>
      <c r="D435" s="187"/>
      <c r="E435" s="188"/>
      <c r="F435" s="188"/>
      <c r="G435" s="188"/>
      <c r="H435" s="188"/>
      <c r="I435" s="188"/>
      <c r="J435" s="188"/>
      <c r="K435" s="189"/>
      <c r="L435" s="1017"/>
    </row>
    <row r="436" spans="1:12" ht="13.5" customHeight="1">
      <c r="B436" s="190"/>
      <c r="C436" s="189"/>
      <c r="D436" s="422" t="s">
        <v>242</v>
      </c>
      <c r="E436" s="192"/>
      <c r="F436" s="192"/>
      <c r="G436" s="192"/>
      <c r="H436" s="192"/>
      <c r="I436" s="192"/>
      <c r="J436" s="192"/>
      <c r="K436" s="186"/>
      <c r="L436" s="1017"/>
    </row>
    <row r="437" spans="1:12">
      <c r="B437" s="421" t="s">
        <v>243</v>
      </c>
      <c r="C437" s="186"/>
      <c r="D437" s="187"/>
      <c r="E437" s="188"/>
      <c r="F437" s="188"/>
      <c r="G437" s="188"/>
      <c r="H437" s="188"/>
      <c r="I437" s="188"/>
      <c r="J437" s="188"/>
      <c r="K437" s="189"/>
      <c r="L437" s="1017"/>
    </row>
    <row r="438" spans="1:12">
      <c r="B438" s="193"/>
      <c r="C438" s="194"/>
      <c r="D438" s="422" t="s">
        <v>244</v>
      </c>
      <c r="E438" s="192"/>
      <c r="F438" s="192"/>
      <c r="G438" s="192"/>
      <c r="H438" s="192"/>
      <c r="I438" s="192"/>
      <c r="J438" s="192"/>
      <c r="K438" s="186"/>
      <c r="L438" s="1017"/>
    </row>
    <row r="439" spans="1:12">
      <c r="A439" s="138"/>
      <c r="B439" s="185" t="s">
        <v>102</v>
      </c>
      <c r="C439" s="186"/>
      <c r="D439" s="187"/>
      <c r="E439" s="188"/>
      <c r="F439" s="188"/>
      <c r="G439" s="188"/>
      <c r="H439" s="188"/>
      <c r="I439" s="188"/>
      <c r="J439" s="188"/>
      <c r="K439" s="189"/>
      <c r="L439" s="1017"/>
    </row>
    <row r="440" spans="1:12">
      <c r="A440" s="138"/>
      <c r="B440" s="199"/>
      <c r="C440" s="200"/>
      <c r="D440" s="201"/>
      <c r="E440" s="202"/>
      <c r="F440" s="202"/>
      <c r="G440" s="202"/>
      <c r="H440" s="202"/>
      <c r="I440" s="202"/>
      <c r="J440" s="202"/>
      <c r="K440" s="198"/>
      <c r="L440" s="1017"/>
    </row>
    <row r="441" spans="1:12">
      <c r="A441" s="138"/>
      <c r="B441" s="195" t="s">
        <v>103</v>
      </c>
      <c r="C441" s="196"/>
      <c r="D441" s="423" t="s">
        <v>43</v>
      </c>
      <c r="E441" s="423" t="s">
        <v>43</v>
      </c>
      <c r="F441" s="423" t="s">
        <v>43</v>
      </c>
      <c r="G441" s="423" t="s">
        <v>43</v>
      </c>
      <c r="H441" s="423" t="s">
        <v>43</v>
      </c>
      <c r="I441" s="423" t="s">
        <v>43</v>
      </c>
      <c r="J441" s="423" t="s">
        <v>43</v>
      </c>
      <c r="K441" s="423" t="s">
        <v>43</v>
      </c>
      <c r="L441" s="1017"/>
    </row>
    <row r="442" spans="1:12">
      <c r="A442" s="138"/>
      <c r="B442" s="424" t="s">
        <v>245</v>
      </c>
      <c r="C442" s="198"/>
      <c r="D442" s="180">
        <v>1123860</v>
      </c>
      <c r="E442" s="180">
        <v>1113190</v>
      </c>
      <c r="F442" s="180">
        <v>1105300</v>
      </c>
      <c r="G442" s="180">
        <v>1097870</v>
      </c>
      <c r="H442" s="180">
        <v>1090420</v>
      </c>
      <c r="I442" s="180">
        <v>1082990</v>
      </c>
      <c r="J442" s="180">
        <v>1075560</v>
      </c>
      <c r="K442" s="180">
        <v>1068560</v>
      </c>
      <c r="L442" s="1017"/>
    </row>
    <row r="443" spans="1:12">
      <c r="A443" s="138"/>
      <c r="B443" s="203" t="s">
        <v>103</v>
      </c>
      <c r="C443" s="204"/>
      <c r="D443" s="205"/>
      <c r="E443" s="206"/>
      <c r="F443" s="206"/>
      <c r="G443" s="206"/>
      <c r="H443" s="206"/>
      <c r="I443" s="206"/>
      <c r="J443" s="206"/>
      <c r="K443" s="196"/>
      <c r="L443" s="1017"/>
    </row>
    <row r="444" spans="1:12">
      <c r="A444" s="138"/>
      <c r="B444" s="421" t="s">
        <v>246</v>
      </c>
      <c r="C444" s="186"/>
      <c r="D444" s="422" t="s">
        <v>247</v>
      </c>
      <c r="E444" s="192"/>
      <c r="F444" s="192"/>
      <c r="G444" s="192"/>
      <c r="H444" s="192"/>
      <c r="I444" s="192"/>
      <c r="J444" s="192"/>
      <c r="K444" s="186"/>
      <c r="L444" s="1017"/>
    </row>
    <row r="445" spans="1:12">
      <c r="A445" s="138"/>
      <c r="B445" s="193" t="s">
        <v>103</v>
      </c>
      <c r="C445" s="194"/>
      <c r="D445" s="187"/>
      <c r="E445" s="188"/>
      <c r="F445" s="188"/>
      <c r="G445" s="188"/>
      <c r="H445" s="188"/>
      <c r="I445" s="188"/>
      <c r="J445" s="188"/>
      <c r="K445" s="189"/>
      <c r="L445" s="1017"/>
    </row>
    <row r="446" spans="1:12">
      <c r="A446" s="138"/>
      <c r="B446" s="185" t="s">
        <v>104</v>
      </c>
      <c r="C446" s="186"/>
      <c r="D446" s="422" t="s">
        <v>248</v>
      </c>
      <c r="E446" s="192"/>
      <c r="F446" s="192"/>
      <c r="G446" s="192"/>
      <c r="H446" s="192"/>
      <c r="I446" s="192"/>
      <c r="J446" s="192"/>
      <c r="K446" s="186"/>
      <c r="L446" s="1017"/>
    </row>
    <row r="447" spans="1:12">
      <c r="A447" s="138"/>
      <c r="B447" s="199" t="s">
        <v>103</v>
      </c>
      <c r="C447" s="200"/>
      <c r="D447" s="201"/>
      <c r="E447" s="202"/>
      <c r="F447" s="202"/>
      <c r="G447" s="202"/>
      <c r="H447" s="202"/>
      <c r="I447" s="202"/>
      <c r="J447" s="202"/>
      <c r="K447" s="198"/>
      <c r="L447" s="1018"/>
    </row>
    <row r="448" spans="1:12">
      <c r="A448" s="138"/>
      <c r="B448" s="203"/>
      <c r="C448" s="207"/>
      <c r="D448" s="208"/>
      <c r="E448" s="208"/>
      <c r="F448" s="208"/>
      <c r="G448" s="208"/>
      <c r="H448" s="208"/>
      <c r="I448" s="208"/>
      <c r="J448" s="208"/>
      <c r="K448" s="209"/>
      <c r="L448" s="405"/>
    </row>
    <row r="449" spans="1:12">
      <c r="A449" s="138"/>
      <c r="B449" s="193"/>
      <c r="C449" s="210"/>
      <c r="D449" s="211"/>
      <c r="E449" s="211"/>
      <c r="F449" s="211"/>
      <c r="G449" s="211"/>
      <c r="H449" s="211"/>
      <c r="I449" s="211"/>
      <c r="J449" s="211"/>
      <c r="K449" s="212"/>
      <c r="L449" s="1019" t="s">
        <v>180</v>
      </c>
    </row>
    <row r="450" spans="1:12">
      <c r="A450" s="138"/>
      <c r="B450" s="193"/>
      <c r="C450" s="210"/>
      <c r="D450" s="211"/>
      <c r="E450" s="211"/>
      <c r="F450" s="211"/>
      <c r="G450" s="211"/>
      <c r="H450" s="211"/>
      <c r="I450" s="211"/>
      <c r="J450" s="211"/>
      <c r="K450" s="212"/>
      <c r="L450" s="1019"/>
    </row>
    <row r="451" spans="1:12">
      <c r="A451" s="138"/>
      <c r="B451" s="185" t="s">
        <v>23</v>
      </c>
      <c r="C451" s="210"/>
      <c r="D451" s="211"/>
      <c r="E451" s="211"/>
      <c r="F451" s="211"/>
      <c r="G451" s="211"/>
      <c r="H451" s="211"/>
      <c r="I451" s="211"/>
      <c r="J451" s="211"/>
      <c r="K451" s="212"/>
      <c r="L451" s="1019"/>
    </row>
    <row r="452" spans="1:12">
      <c r="A452" s="138"/>
      <c r="B452" s="193"/>
      <c r="C452" s="210"/>
      <c r="D452" s="211"/>
      <c r="E452" s="211"/>
      <c r="F452" s="211"/>
      <c r="G452" s="211"/>
      <c r="H452" s="211"/>
      <c r="I452" s="211"/>
      <c r="J452" s="211"/>
      <c r="K452" s="212"/>
      <c r="L452" s="1019"/>
    </row>
    <row r="453" spans="1:12">
      <c r="A453" s="138"/>
      <c r="B453" s="193"/>
      <c r="C453" s="210"/>
      <c r="D453" s="211"/>
      <c r="E453" s="211"/>
      <c r="F453" s="211"/>
      <c r="G453" s="211"/>
      <c r="H453" s="211"/>
      <c r="I453" s="211"/>
      <c r="J453" s="211"/>
      <c r="K453" s="212"/>
      <c r="L453" s="1019"/>
    </row>
    <row r="454" spans="1:12">
      <c r="A454" s="138"/>
      <c r="B454" s="193"/>
      <c r="C454" s="210"/>
      <c r="D454" s="211"/>
      <c r="E454" s="211"/>
      <c r="F454" s="211"/>
      <c r="G454" s="211"/>
      <c r="H454" s="211"/>
      <c r="I454" s="211"/>
      <c r="J454" s="211"/>
      <c r="K454" s="212"/>
      <c r="L454" s="1019"/>
    </row>
    <row r="455" spans="1:12">
      <c r="A455" s="138"/>
      <c r="B455" s="185" t="s">
        <v>249</v>
      </c>
      <c r="C455" s="210"/>
      <c r="D455" s="211"/>
      <c r="E455" s="211"/>
      <c r="F455" s="211"/>
      <c r="G455" s="211"/>
      <c r="H455" s="211"/>
      <c r="I455" s="211"/>
      <c r="J455" s="211"/>
      <c r="K455" s="212"/>
      <c r="L455" s="1019"/>
    </row>
    <row r="456" spans="1:12">
      <c r="A456" s="138"/>
      <c r="B456" s="213"/>
      <c r="C456" s="210"/>
      <c r="D456" s="211"/>
      <c r="E456" s="211"/>
      <c r="F456" s="211"/>
      <c r="G456" s="211"/>
      <c r="H456" s="211"/>
      <c r="I456" s="211"/>
      <c r="J456" s="211"/>
      <c r="K456" s="212"/>
      <c r="L456" s="1019"/>
    </row>
    <row r="457" spans="1:12">
      <c r="A457" s="138"/>
      <c r="B457" s="213"/>
      <c r="C457" s="192"/>
      <c r="D457" s="192"/>
      <c r="E457" s="192"/>
      <c r="F457" s="192"/>
      <c r="G457" s="192"/>
      <c r="H457" s="192"/>
      <c r="I457" s="192"/>
      <c r="J457" s="192"/>
      <c r="K457" s="186"/>
      <c r="L457" s="1019"/>
    </row>
    <row r="458" spans="1:12">
      <c r="A458" s="138"/>
      <c r="B458" s="193"/>
      <c r="C458" s="210"/>
      <c r="D458" s="211"/>
      <c r="E458" s="211"/>
      <c r="F458" s="211"/>
      <c r="G458" s="211"/>
      <c r="H458" s="211"/>
      <c r="I458" s="211"/>
      <c r="J458" s="211"/>
      <c r="K458" s="212"/>
      <c r="L458" s="1019"/>
    </row>
    <row r="459" spans="1:12">
      <c r="A459" s="138"/>
      <c r="B459" s="193"/>
      <c r="C459" s="210"/>
      <c r="D459" s="211"/>
      <c r="E459" s="211"/>
      <c r="F459" s="211"/>
      <c r="G459" s="211"/>
      <c r="H459" s="211"/>
      <c r="I459" s="211"/>
      <c r="J459" s="211"/>
      <c r="K459" s="212"/>
      <c r="L459" s="1019"/>
    </row>
    <row r="460" spans="1:12" ht="14.25" thickBot="1">
      <c r="A460" s="138"/>
      <c r="B460" s="214"/>
      <c r="C460" s="215"/>
      <c r="D460" s="216"/>
      <c r="E460" s="216"/>
      <c r="F460" s="216"/>
      <c r="G460" s="216"/>
      <c r="H460" s="216"/>
      <c r="I460" s="216"/>
      <c r="J460" s="216"/>
      <c r="K460" s="217"/>
      <c r="L460" s="1020"/>
    </row>
    <row r="461" spans="1:12">
      <c r="B461" s="425" t="s">
        <v>250</v>
      </c>
      <c r="C461" s="425"/>
      <c r="D461" s="425"/>
      <c r="E461" s="425"/>
      <c r="F461" s="425"/>
      <c r="G461" s="425"/>
      <c r="H461" s="425"/>
      <c r="I461" s="425"/>
      <c r="J461" s="425"/>
      <c r="K461" s="425"/>
      <c r="L461" s="425"/>
    </row>
    <row r="462" spans="1:12">
      <c r="B462" s="1021" t="s">
        <v>251</v>
      </c>
      <c r="C462" s="1021"/>
      <c r="D462" s="1021"/>
      <c r="E462" s="1021"/>
      <c r="F462" s="1021"/>
      <c r="G462" s="1021"/>
      <c r="H462" s="1021"/>
      <c r="I462" s="1021"/>
      <c r="J462" s="1021"/>
      <c r="K462" s="1021"/>
      <c r="L462" s="1021"/>
    </row>
    <row r="463" spans="1:12">
      <c r="B463" s="1021" t="s">
        <v>252</v>
      </c>
      <c r="C463" s="1021"/>
      <c r="D463" s="1021"/>
      <c r="E463" s="1021"/>
      <c r="F463" s="1021"/>
      <c r="G463" s="1021"/>
      <c r="H463" s="1021"/>
      <c r="I463" s="1021"/>
      <c r="J463" s="1021"/>
      <c r="K463" s="1021"/>
      <c r="L463" s="1021"/>
    </row>
    <row r="464" spans="1:12">
      <c r="B464" s="1021" t="s">
        <v>253</v>
      </c>
      <c r="C464" s="1021"/>
      <c r="D464" s="1021"/>
      <c r="E464" s="1021"/>
      <c r="F464" s="1021"/>
      <c r="G464" s="1021"/>
      <c r="H464" s="1021"/>
      <c r="I464" s="1021"/>
      <c r="J464" s="1021"/>
      <c r="K464" s="1021"/>
      <c r="L464" s="1021"/>
    </row>
    <row r="465" spans="2:12">
      <c r="B465" s="1021" t="s">
        <v>254</v>
      </c>
      <c r="C465" s="1021"/>
      <c r="D465" s="1021"/>
      <c r="E465" s="1021"/>
      <c r="F465" s="1021"/>
      <c r="G465" s="1021"/>
      <c r="H465" s="1021"/>
      <c r="I465" s="1021"/>
      <c r="J465" s="1021"/>
      <c r="K465" s="1021"/>
      <c r="L465" s="1021"/>
    </row>
    <row r="466" spans="2:12">
      <c r="B466" s="1021" t="s">
        <v>255</v>
      </c>
      <c r="C466" s="1021"/>
      <c r="D466" s="1021"/>
      <c r="E466" s="1021"/>
      <c r="F466" s="1021"/>
      <c r="G466" s="1021"/>
      <c r="H466" s="1021"/>
      <c r="I466" s="1021"/>
      <c r="J466" s="1021"/>
      <c r="K466" s="1021"/>
      <c r="L466" s="1021"/>
    </row>
    <row r="467" spans="2:12">
      <c r="B467" s="1021" t="s">
        <v>256</v>
      </c>
      <c r="C467" s="1021"/>
      <c r="D467" s="1021"/>
      <c r="E467" s="1021"/>
      <c r="F467" s="1021"/>
      <c r="G467" s="1021"/>
      <c r="H467" s="1021"/>
      <c r="I467" s="1021"/>
      <c r="J467" s="1021"/>
      <c r="K467" s="1021"/>
      <c r="L467" s="1021"/>
    </row>
    <row r="468" spans="2:12">
      <c r="B468" s="1021" t="s">
        <v>257</v>
      </c>
      <c r="C468" s="1021"/>
      <c r="D468" s="1021"/>
      <c r="E468" s="1021"/>
      <c r="F468" s="1021"/>
      <c r="G468" s="1021"/>
      <c r="H468" s="1021"/>
      <c r="I468" s="1021"/>
      <c r="J468" s="1021"/>
      <c r="K468" s="1021"/>
      <c r="L468" s="1021"/>
    </row>
    <row r="469" spans="2:12">
      <c r="B469" s="1021" t="s">
        <v>258</v>
      </c>
      <c r="C469" s="1021"/>
      <c r="D469" s="1021"/>
      <c r="E469" s="1021"/>
      <c r="F469" s="1021"/>
      <c r="G469" s="1021"/>
      <c r="H469" s="1021"/>
      <c r="I469" s="1021"/>
      <c r="J469" s="1021"/>
      <c r="K469" s="1021"/>
      <c r="L469" s="1021"/>
    </row>
    <row r="470" spans="2:12">
      <c r="B470" s="1021" t="s">
        <v>259</v>
      </c>
      <c r="C470" s="1021"/>
      <c r="D470" s="1021"/>
      <c r="E470" s="1021"/>
      <c r="F470" s="1021"/>
      <c r="G470" s="1021"/>
      <c r="H470" s="1021"/>
      <c r="I470" s="1021"/>
      <c r="J470" s="1021"/>
      <c r="K470" s="1021"/>
      <c r="L470" s="1021"/>
    </row>
    <row r="471" spans="2:12">
      <c r="B471" s="1021" t="s">
        <v>260</v>
      </c>
      <c r="C471" s="1021"/>
      <c r="D471" s="1021"/>
      <c r="E471" s="1021"/>
      <c r="F471" s="1021"/>
      <c r="G471" s="1021"/>
      <c r="H471" s="1021"/>
      <c r="I471" s="1021"/>
      <c r="J471" s="1021"/>
      <c r="K471" s="1021"/>
      <c r="L471" s="1021"/>
    </row>
    <row r="472" spans="2:12">
      <c r="B472" s="1021" t="s">
        <v>261</v>
      </c>
      <c r="C472" s="1021"/>
      <c r="D472" s="1021"/>
      <c r="E472" s="1021"/>
      <c r="F472" s="1021"/>
      <c r="G472" s="1021"/>
      <c r="H472" s="1021"/>
      <c r="I472" s="1021"/>
      <c r="J472" s="1021"/>
      <c r="K472" s="1021"/>
      <c r="L472" s="1021"/>
    </row>
    <row r="473" spans="2:12">
      <c r="B473" s="1021" t="s">
        <v>262</v>
      </c>
      <c r="C473" s="1021"/>
      <c r="D473" s="1021"/>
      <c r="E473" s="1021"/>
      <c r="F473" s="1021"/>
      <c r="G473" s="1021"/>
      <c r="H473" s="1021"/>
      <c r="I473" s="1021"/>
      <c r="J473" s="1021"/>
      <c r="K473" s="1021"/>
      <c r="L473" s="1021"/>
    </row>
    <row r="474" spans="2:12">
      <c r="B474" s="1021" t="s">
        <v>263</v>
      </c>
      <c r="C474" s="1021"/>
      <c r="D474" s="1021"/>
      <c r="E474" s="1021"/>
      <c r="F474" s="1021"/>
      <c r="G474" s="1021"/>
      <c r="H474" s="1021"/>
      <c r="I474" s="1021"/>
      <c r="J474" s="1021"/>
      <c r="K474" s="1021"/>
      <c r="L474" s="1021"/>
    </row>
    <row r="475" spans="2:12">
      <c r="B475" s="1021" t="s">
        <v>264</v>
      </c>
      <c r="C475" s="1021"/>
      <c r="D475" s="1021"/>
      <c r="E475" s="1021"/>
      <c r="F475" s="1021"/>
      <c r="G475" s="1021"/>
      <c r="H475" s="1021"/>
      <c r="I475" s="1021"/>
      <c r="J475" s="1021"/>
      <c r="K475" s="1021"/>
      <c r="L475" s="1021"/>
    </row>
    <row r="476" spans="2:12">
      <c r="B476" s="1021" t="s">
        <v>265</v>
      </c>
      <c r="C476" s="1021"/>
      <c r="D476" s="1021"/>
      <c r="E476" s="1021"/>
      <c r="F476" s="1021"/>
      <c r="G476" s="1021"/>
      <c r="H476" s="1021"/>
      <c r="I476" s="1021"/>
      <c r="J476" s="1021"/>
      <c r="K476" s="1021"/>
      <c r="L476" s="1021"/>
    </row>
    <row r="477" spans="2:12">
      <c r="B477" s="1021" t="s">
        <v>266</v>
      </c>
      <c r="C477" s="1021"/>
      <c r="D477" s="1021"/>
      <c r="E477" s="1021"/>
      <c r="F477" s="1021"/>
      <c r="G477" s="1021"/>
      <c r="H477" s="1021"/>
      <c r="I477" s="1021"/>
      <c r="J477" s="1021"/>
      <c r="K477" s="1021"/>
      <c r="L477" s="1021"/>
    </row>
  </sheetData>
  <mergeCells count="22">
    <mergeCell ref="B477:L477"/>
    <mergeCell ref="B465:L465"/>
    <mergeCell ref="B466:L466"/>
    <mergeCell ref="B467:L467"/>
    <mergeCell ref="B468:L468"/>
    <mergeCell ref="B469:L469"/>
    <mergeCell ref="B470:L470"/>
    <mergeCell ref="B472:L472"/>
    <mergeCell ref="B471:L471"/>
    <mergeCell ref="B473:L473"/>
    <mergeCell ref="L449:L460"/>
    <mergeCell ref="B474:L474"/>
    <mergeCell ref="B475:L475"/>
    <mergeCell ref="B476:L476"/>
    <mergeCell ref="B462:L462"/>
    <mergeCell ref="B463:L463"/>
    <mergeCell ref="B464:L464"/>
    <mergeCell ref="B412:C412"/>
    <mergeCell ref="B1:L1"/>
    <mergeCell ref="B2:L2"/>
    <mergeCell ref="L415:L423"/>
    <mergeCell ref="L426:L447"/>
  </mergeCells>
  <phoneticPr fontId="3"/>
  <pageMargins left="0.78740157480314965" right="0.78740157480314965" top="0.98425196850393704" bottom="0.98425196850393704" header="0.51181102362204722" footer="0.51181102362204722"/>
  <pageSetup paperSize="9" scale="77" orientation="portrait" r:id="rId1"/>
  <headerFooter alignWithMargins="0"/>
  <rowBreaks count="7" manualBreakCount="7">
    <brk id="57" max="16383" man="1"/>
    <brk id="107" max="16383" man="1"/>
    <brk id="157" max="16383" man="1"/>
    <brk id="207" max="16383" man="1"/>
    <brk id="257" max="16383" man="1"/>
    <brk id="307" max="16383" man="1"/>
    <brk id="377" max="16383" man="1"/>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indexed="11"/>
  </sheetPr>
  <dimension ref="A1:N87"/>
  <sheetViews>
    <sheetView zoomScaleNormal="100" zoomScaleSheetLayoutView="100" workbookViewId="0">
      <selection activeCell="H63" sqref="H63"/>
    </sheetView>
  </sheetViews>
  <sheetFormatPr defaultRowHeight="13.5"/>
  <cols>
    <col min="1" max="1" width="15" style="95" customWidth="1"/>
    <col min="2" max="2" width="17.5" style="95" customWidth="1"/>
    <col min="3" max="3" width="15" style="95" customWidth="1"/>
    <col min="4" max="4" width="2.5" style="95" customWidth="1"/>
    <col min="5" max="5" width="20" style="95" customWidth="1"/>
    <col min="6" max="6" width="22.5" style="95" customWidth="1"/>
    <col min="7" max="7" width="9" style="95" customWidth="1"/>
    <col min="8" max="8" width="15.625" style="95" customWidth="1"/>
    <col min="9" max="9" width="5.625" style="95" customWidth="1"/>
    <col min="10" max="10" width="14.5" style="95" bestFit="1" customWidth="1"/>
    <col min="11" max="11" width="14.375" style="95" customWidth="1"/>
    <col min="12" max="16384" width="9" style="95"/>
  </cols>
  <sheetData>
    <row r="1" spans="1:14" ht="8.25" customHeight="1" thickBot="1"/>
    <row r="2" spans="1:14" ht="18.75" customHeight="1">
      <c r="E2" s="96"/>
      <c r="F2" s="97" t="s">
        <v>169</v>
      </c>
      <c r="G2" s="98" t="s">
        <v>27</v>
      </c>
      <c r="H2" s="228"/>
      <c r="I2" s="377" t="s">
        <v>8</v>
      </c>
      <c r="J2" s="229"/>
      <c r="K2" s="99" t="s">
        <v>28</v>
      </c>
      <c r="M2" s="252">
        <v>4</v>
      </c>
      <c r="N2" s="253">
        <v>41730</v>
      </c>
    </row>
    <row r="3" spans="1:14" ht="18.75" customHeight="1">
      <c r="E3" s="100"/>
      <c r="F3" s="219" t="s">
        <v>228</v>
      </c>
      <c r="G3" s="220"/>
      <c r="H3" s="1024"/>
      <c r="I3" s="1025"/>
      <c r="J3" s="230"/>
      <c r="K3" s="103"/>
      <c r="M3" s="252">
        <v>5</v>
      </c>
      <c r="N3" s="253">
        <v>41760</v>
      </c>
    </row>
    <row r="4" spans="1:14" ht="18.75" customHeight="1">
      <c r="E4" s="100"/>
      <c r="F4" s="101" t="s">
        <v>164</v>
      </c>
      <c r="G4" s="102"/>
      <c r="H4" s="1026"/>
      <c r="I4" s="1027"/>
      <c r="J4" s="231"/>
      <c r="K4" s="103"/>
      <c r="M4" s="252">
        <v>6</v>
      </c>
      <c r="N4" s="253">
        <v>41791</v>
      </c>
    </row>
    <row r="5" spans="1:14" ht="18.75" customHeight="1">
      <c r="E5" s="100"/>
      <c r="F5" s="101" t="s">
        <v>65</v>
      </c>
      <c r="G5" s="102"/>
      <c r="H5" s="1022"/>
      <c r="I5" s="1023"/>
      <c r="J5" s="231"/>
      <c r="K5" s="103"/>
      <c r="M5" s="252">
        <v>7</v>
      </c>
      <c r="N5" s="253">
        <v>41821</v>
      </c>
    </row>
    <row r="6" spans="1:14" ht="18.75" customHeight="1">
      <c r="E6" s="104" t="s">
        <v>166</v>
      </c>
      <c r="F6" s="101" t="s">
        <v>30</v>
      </c>
      <c r="G6" s="102"/>
      <c r="H6" s="256" t="e">
        <f>VLOOKUP(J2,M2:N13,2,0)</f>
        <v>#N/A</v>
      </c>
      <c r="I6" s="231"/>
      <c r="J6" s="231"/>
      <c r="K6" s="103"/>
      <c r="M6" s="252">
        <v>8</v>
      </c>
      <c r="N6" s="253">
        <v>41852</v>
      </c>
    </row>
    <row r="7" spans="1:14" ht="18.75" customHeight="1">
      <c r="E7" s="104" t="s">
        <v>167</v>
      </c>
      <c r="F7" s="101" t="s">
        <v>170</v>
      </c>
      <c r="G7" s="102"/>
      <c r="H7" s="232"/>
      <c r="I7" s="231"/>
      <c r="J7" s="231"/>
      <c r="K7" s="103"/>
      <c r="M7" s="252">
        <v>9</v>
      </c>
      <c r="N7" s="253">
        <v>41883</v>
      </c>
    </row>
    <row r="8" spans="1:14" ht="18.75" customHeight="1" thickBot="1">
      <c r="E8" s="100"/>
      <c r="F8" s="101" t="s">
        <v>165</v>
      </c>
      <c r="G8" s="102"/>
      <c r="H8" s="232"/>
      <c r="I8" s="231"/>
      <c r="J8" s="231"/>
      <c r="K8" s="103"/>
      <c r="M8" s="252">
        <v>10</v>
      </c>
      <c r="N8" s="253">
        <v>41913</v>
      </c>
    </row>
    <row r="9" spans="1:14" ht="18.75" customHeight="1" thickBot="1">
      <c r="E9" s="105"/>
      <c r="F9" s="106" t="s">
        <v>168</v>
      </c>
      <c r="G9" s="107"/>
      <c r="H9" s="257" t="e">
        <f>VLOOKUP(H8,M15:N40,2,0)</f>
        <v>#N/A</v>
      </c>
      <c r="I9" s="233"/>
      <c r="J9" s="369" t="e">
        <f>F20-F22</f>
        <v>#REF!</v>
      </c>
      <c r="K9" s="367" t="s">
        <v>212</v>
      </c>
      <c r="M9" s="252">
        <v>11</v>
      </c>
      <c r="N9" s="253">
        <v>41944</v>
      </c>
    </row>
    <row r="10" spans="1:14">
      <c r="M10" s="252">
        <v>12</v>
      </c>
      <c r="N10" s="253">
        <v>41974</v>
      </c>
    </row>
    <row r="11" spans="1:14" ht="19.5" customHeight="1" thickBot="1">
      <c r="A11" s="356"/>
      <c r="F11" s="1034" t="str">
        <f>IF(ISERROR(VLOOKUP($B$24,#REF!,2,0))=TRUE,"",(VLOOKUP($B$24,#REF!,2,0)))</f>
        <v/>
      </c>
      <c r="M11" s="254">
        <v>1</v>
      </c>
      <c r="N11" s="253">
        <v>42005</v>
      </c>
    </row>
    <row r="12" spans="1:14" ht="27.75" customHeight="1" thickTop="1" thickBot="1">
      <c r="A12" s="1031" t="e">
        <f>INDEX(#REF!, MATCH($B$26,#REF!,), MATCH("研究種別",#REF!,))</f>
        <v>#REF!</v>
      </c>
      <c r="B12" s="355"/>
      <c r="C12" s="355" t="s">
        <v>45</v>
      </c>
      <c r="D12" s="355"/>
      <c r="E12" s="355"/>
      <c r="F12" s="1034"/>
      <c r="M12" s="254">
        <v>2</v>
      </c>
      <c r="N12" s="253">
        <v>42036</v>
      </c>
    </row>
    <row r="13" spans="1:14" s="109" customFormat="1" ht="15" customHeight="1" thickTop="1" thickBot="1">
      <c r="A13" s="1031"/>
      <c r="B13" s="108"/>
      <c r="C13" s="108"/>
      <c r="D13" s="108"/>
      <c r="E13" s="1037" t="s">
        <v>95</v>
      </c>
      <c r="F13" s="1037"/>
      <c r="M13" s="254">
        <v>3</v>
      </c>
      <c r="N13" s="253">
        <v>42064</v>
      </c>
    </row>
    <row r="14" spans="1:14" s="109" customFormat="1" ht="15" customHeight="1" thickTop="1" thickBot="1">
      <c r="A14" s="1031"/>
      <c r="B14" s="108"/>
      <c r="C14" s="108"/>
      <c r="D14" s="108"/>
      <c r="E14" s="1038"/>
      <c r="F14" s="1038"/>
      <c r="M14" s="110"/>
      <c r="N14" s="110"/>
    </row>
    <row r="15" spans="1:14" s="110" customFormat="1" ht="14.25" thickTop="1">
      <c r="B15" s="221"/>
      <c r="C15" s="221"/>
      <c r="D15" s="221"/>
      <c r="E15" s="1035" t="str">
        <f>"　　　"&amp;G2&amp;H2&amp;I2&amp;J2&amp;K2&amp;"　　　"</f>
        <v>　　　平成年月分　　　</v>
      </c>
      <c r="F15" s="1036"/>
      <c r="M15" s="255">
        <v>41759</v>
      </c>
      <c r="N15" s="255">
        <v>41768</v>
      </c>
    </row>
    <row r="16" spans="1:14" s="110" customFormat="1" ht="15" customHeight="1">
      <c r="A16" s="1041" t="s">
        <v>199</v>
      </c>
      <c r="B16" s="1041"/>
      <c r="C16" s="1042"/>
      <c r="D16" s="1043"/>
      <c r="E16" s="111" t="s">
        <v>84</v>
      </c>
      <c r="F16" s="132" t="s">
        <v>81</v>
      </c>
      <c r="M16" s="255">
        <v>41774</v>
      </c>
      <c r="N16" s="255">
        <v>41800</v>
      </c>
    </row>
    <row r="17" spans="1:14" s="110" customFormat="1" ht="15" customHeight="1">
      <c r="A17" s="1044" t="s">
        <v>206</v>
      </c>
      <c r="B17" s="1044"/>
      <c r="C17" s="1044"/>
      <c r="D17" s="1045"/>
      <c r="E17" s="112" t="s">
        <v>123</v>
      </c>
      <c r="F17" s="133" t="s">
        <v>125</v>
      </c>
      <c r="G17" s="110" t="s">
        <v>122</v>
      </c>
      <c r="M17" s="255">
        <v>41789</v>
      </c>
      <c r="N17" s="255">
        <v>41800</v>
      </c>
    </row>
    <row r="18" spans="1:14" s="110" customFormat="1" ht="15" customHeight="1">
      <c r="A18" s="1048">
        <f>H7</f>
        <v>0</v>
      </c>
      <c r="B18" s="1048"/>
      <c r="C18" s="397"/>
      <c r="D18" s="298"/>
      <c r="E18" s="112" t="s">
        <v>11</v>
      </c>
      <c r="F18" s="113" t="e">
        <f>#REF!</f>
        <v>#REF!</v>
      </c>
      <c r="M18" s="255">
        <v>41803</v>
      </c>
      <c r="N18" s="255">
        <v>41830</v>
      </c>
    </row>
    <row r="19" spans="1:14" s="110" customFormat="1" ht="15" customHeight="1">
      <c r="A19" s="1046" t="s">
        <v>205</v>
      </c>
      <c r="B19" s="1046"/>
      <c r="C19" s="1046"/>
      <c r="D19" s="1047"/>
      <c r="E19" s="112" t="s">
        <v>119</v>
      </c>
      <c r="F19" s="114">
        <f>H4</f>
        <v>0</v>
      </c>
      <c r="M19" s="255">
        <v>41820</v>
      </c>
      <c r="N19" s="255">
        <v>41830</v>
      </c>
    </row>
    <row r="20" spans="1:14" s="110" customFormat="1" ht="15" customHeight="1">
      <c r="A20" s="1039"/>
      <c r="B20" s="1039"/>
      <c r="C20" s="1039"/>
      <c r="D20" s="1040"/>
      <c r="E20" s="112" t="s">
        <v>105</v>
      </c>
      <c r="F20" s="113" t="e">
        <f>F18*F19</f>
        <v>#REF!</v>
      </c>
      <c r="G20" s="1032"/>
      <c r="H20" s="1033"/>
      <c r="I20" s="1033"/>
      <c r="J20" s="1033"/>
      <c r="M20" s="255">
        <v>41835</v>
      </c>
      <c r="N20" s="255">
        <v>41859</v>
      </c>
    </row>
    <row r="21" spans="1:14" s="110" customFormat="1" ht="15" customHeight="1">
      <c r="A21" s="1039"/>
      <c r="B21" s="1039"/>
      <c r="C21" s="1039"/>
      <c r="D21" s="1040"/>
      <c r="E21" s="112" t="s">
        <v>106</v>
      </c>
      <c r="F21" s="113" t="e">
        <f>IF(F16="有り（2ヶ月以内）",日額丙欄税額作業!B8,(IF(F16="無し（2ヶ月以内）",0,(IF(J9&lt;88000,ROUNDDOWN(J9*3.063/100,),LOOKUP(J9,'月額表（平成27年1月以降分）'!$B$13:$B$347,'月額表（平成27年1月以降分）'!$L$13:$L$347))))))</f>
        <v>#REF!</v>
      </c>
      <c r="M21" s="255">
        <v>41850</v>
      </c>
      <c r="N21" s="255">
        <v>41859</v>
      </c>
    </row>
    <row r="22" spans="1:14" s="110" customFormat="1" ht="15" customHeight="1">
      <c r="A22" s="319"/>
      <c r="B22" s="319"/>
      <c r="C22" s="319"/>
      <c r="D22" s="320"/>
      <c r="E22" s="116" t="s">
        <v>128</v>
      </c>
      <c r="F22" s="135">
        <f>IF(F17="有り",ROUNDDOWN(($F$20+$F$24)*5/1000,0),0)</f>
        <v>0</v>
      </c>
      <c r="G22" s="115"/>
      <c r="H22" s="115"/>
      <c r="I22" s="115"/>
      <c r="J22" s="115"/>
      <c r="M22" s="255">
        <v>41866</v>
      </c>
      <c r="N22" s="255">
        <v>41892</v>
      </c>
    </row>
    <row r="23" spans="1:14" s="110" customFormat="1" ht="15" customHeight="1">
      <c r="A23" s="324" t="s">
        <v>152</v>
      </c>
      <c r="B23" s="1049" t="s">
        <v>184</v>
      </c>
      <c r="C23" s="1050"/>
      <c r="D23" s="1051"/>
      <c r="E23" s="116" t="s">
        <v>211</v>
      </c>
      <c r="F23" s="117" t="e">
        <f>F20-F22-F21</f>
        <v>#REF!</v>
      </c>
      <c r="M23" s="255">
        <v>41880</v>
      </c>
      <c r="N23" s="255">
        <v>41892</v>
      </c>
    </row>
    <row r="24" spans="1:14" s="110" customFormat="1" ht="15" customHeight="1">
      <c r="A24" s="323" t="s">
        <v>22</v>
      </c>
      <c r="B24" s="1028" t="e">
        <f>#REF!</f>
        <v>#REF!</v>
      </c>
      <c r="C24" s="1029"/>
      <c r="D24" s="1030"/>
      <c r="E24" s="116" t="s">
        <v>208</v>
      </c>
      <c r="F24" s="299">
        <f>H3*H5*2</f>
        <v>0</v>
      </c>
      <c r="M24" s="255"/>
      <c r="N24" s="255"/>
    </row>
    <row r="25" spans="1:14" s="109" customFormat="1" ht="15" customHeight="1" thickBot="1">
      <c r="A25" s="260" t="s">
        <v>77</v>
      </c>
      <c r="B25" s="1028" t="e">
        <f>#REF!</f>
        <v>#REF!</v>
      </c>
      <c r="C25" s="1029"/>
      <c r="D25" s="1030"/>
      <c r="E25" s="301" t="s">
        <v>209</v>
      </c>
      <c r="F25" s="118" t="e">
        <f>F23+F24</f>
        <v>#REF!</v>
      </c>
      <c r="H25" s="108"/>
      <c r="M25" s="255">
        <v>41894</v>
      </c>
      <c r="N25" s="255">
        <v>41922</v>
      </c>
    </row>
    <row r="26" spans="1:14" s="109" customFormat="1" ht="15.75" customHeight="1" thickBot="1">
      <c r="A26" s="312" t="s">
        <v>90</v>
      </c>
      <c r="B26" s="357" t="e">
        <f>#REF!</f>
        <v>#REF!</v>
      </c>
      <c r="C26" s="1087" t="e">
        <f>#REF!</f>
        <v>#REF!</v>
      </c>
      <c r="D26" s="1088" t="e">
        <f>#REF!</f>
        <v>#REF!</v>
      </c>
      <c r="E26" s="321"/>
      <c r="F26" s="304"/>
      <c r="M26" s="255">
        <v>41912</v>
      </c>
      <c r="N26" s="255">
        <v>41922</v>
      </c>
    </row>
    <row r="27" spans="1:14" s="109" customFormat="1" ht="15" customHeight="1">
      <c r="A27" s="311" t="s">
        <v>144</v>
      </c>
      <c r="B27" s="1028" t="e">
        <f>INDEX(#REF!, MATCH($B$26,#REF!,), MATCH("研究種別",#REF!,))</f>
        <v>#REF!</v>
      </c>
      <c r="C27" s="1029"/>
      <c r="D27" s="1030"/>
      <c r="E27" s="300" t="s">
        <v>185</v>
      </c>
      <c r="F27" s="303">
        <f>H3*2</f>
        <v>0</v>
      </c>
      <c r="M27" s="255">
        <v>41927</v>
      </c>
      <c r="N27" s="255">
        <v>41953</v>
      </c>
    </row>
    <row r="28" spans="1:14" s="109" customFormat="1" ht="15" customHeight="1" thickBot="1">
      <c r="A28" s="312" t="s">
        <v>89</v>
      </c>
      <c r="B28" s="1084" t="e">
        <f>INDEX(#REF!, MATCH($B$26,#REF!,), MATCH("研究代表者",#REF!,))</f>
        <v>#REF!</v>
      </c>
      <c r="C28" s="1085"/>
      <c r="D28" s="1089"/>
      <c r="E28" s="322" t="s">
        <v>65</v>
      </c>
      <c r="F28" s="302">
        <f>H5</f>
        <v>0</v>
      </c>
      <c r="M28" s="255">
        <v>41942</v>
      </c>
      <c r="N28" s="255">
        <v>41953</v>
      </c>
    </row>
    <row r="29" spans="1:14" s="109" customFormat="1" ht="15" customHeight="1">
      <c r="A29" s="312" t="s">
        <v>186</v>
      </c>
      <c r="B29" s="1081" t="e">
        <f>#REF!</f>
        <v>#REF!</v>
      </c>
      <c r="C29" s="1082"/>
      <c r="D29" s="1083"/>
      <c r="E29" s="95"/>
      <c r="F29" s="351"/>
      <c r="M29" s="255">
        <v>41957</v>
      </c>
      <c r="N29" s="255">
        <v>41983</v>
      </c>
    </row>
    <row r="30" spans="1:14" s="109" customFormat="1" ht="15" customHeight="1">
      <c r="A30" s="340" t="s">
        <v>0</v>
      </c>
      <c r="B30" s="1084" t="e">
        <f>#REF!</f>
        <v>#REF!</v>
      </c>
      <c r="C30" s="1085" t="e">
        <f>#REF!</f>
        <v>#REF!</v>
      </c>
      <c r="D30" s="1086" t="e">
        <f>#REF!</f>
        <v>#REF!</v>
      </c>
      <c r="E30" s="95"/>
      <c r="F30" s="352"/>
      <c r="M30" s="255">
        <v>41971</v>
      </c>
      <c r="N30" s="255">
        <v>41983</v>
      </c>
    </row>
    <row r="31" spans="1:14" s="109" customFormat="1" ht="15" customHeight="1">
      <c r="A31" s="341" t="s">
        <v>92</v>
      </c>
      <c r="B31" s="1077" t="e">
        <f>#REF!</f>
        <v>#REF!</v>
      </c>
      <c r="C31" s="1077" t="e">
        <f>#REF!</f>
        <v>#REF!</v>
      </c>
      <c r="D31" s="1078" t="e">
        <f>#REF!</f>
        <v>#REF!</v>
      </c>
      <c r="E31" s="314"/>
      <c r="F31" s="353"/>
      <c r="I31" s="363"/>
      <c r="J31" s="365"/>
      <c r="M31" s="255">
        <v>41985</v>
      </c>
      <c r="N31" s="255">
        <v>42013</v>
      </c>
    </row>
    <row r="32" spans="1:14" s="109" customFormat="1" ht="15" customHeight="1">
      <c r="A32" s="1075" t="s">
        <v>78</v>
      </c>
      <c r="B32" s="1079" t="e">
        <f>B25</f>
        <v>#REF!</v>
      </c>
      <c r="C32" s="1079"/>
      <c r="D32" s="1079"/>
      <c r="E32" s="1071" t="e">
        <f>#REF!</f>
        <v>#REF!</v>
      </c>
      <c r="F32" s="1073" t="str">
        <f>"・"&amp;J2&amp;"月分・理系）"</f>
        <v>・月分・理系）</v>
      </c>
      <c r="I32" s="363"/>
      <c r="M32" s="255">
        <v>41992</v>
      </c>
      <c r="N32" s="255">
        <v>42013</v>
      </c>
    </row>
    <row r="33" spans="1:14" s="109" customFormat="1" ht="19.5" customHeight="1">
      <c r="A33" s="1076"/>
      <c r="B33" s="1080"/>
      <c r="C33" s="1080"/>
      <c r="D33" s="1080"/>
      <c r="E33" s="1072" t="e">
        <f>#REF!</f>
        <v>#REF!</v>
      </c>
      <c r="F33" s="1074"/>
      <c r="G33" s="119"/>
      <c r="I33" s="363"/>
      <c r="M33" s="255">
        <v>42019</v>
      </c>
      <c r="N33" s="255">
        <v>42045</v>
      </c>
    </row>
    <row r="34" spans="1:14" s="109" customFormat="1" ht="15" customHeight="1">
      <c r="A34" s="285" t="s">
        <v>29</v>
      </c>
      <c r="B34" s="1102">
        <f>H7</f>
        <v>0</v>
      </c>
      <c r="C34" s="1103"/>
      <c r="D34" s="1104"/>
      <c r="E34" s="308" t="s">
        <v>1</v>
      </c>
      <c r="F34" s="309" t="e">
        <f>#REF!</f>
        <v>#REF!</v>
      </c>
      <c r="H34" s="313"/>
      <c r="J34" s="364"/>
      <c r="M34" s="255">
        <v>42034</v>
      </c>
      <c r="N34" s="255">
        <v>42045</v>
      </c>
    </row>
    <row r="35" spans="1:14" s="109" customFormat="1" ht="12" customHeight="1">
      <c r="A35" s="342"/>
      <c r="B35" s="326"/>
      <c r="C35" s="327"/>
      <c r="D35" s="328"/>
      <c r="E35" s="307" t="s">
        <v>2</v>
      </c>
      <c r="F35" s="306" t="e">
        <f>#REF!</f>
        <v>#REF!</v>
      </c>
      <c r="H35" s="305"/>
      <c r="M35" s="255">
        <v>42048</v>
      </c>
      <c r="N35" s="255">
        <v>42073</v>
      </c>
    </row>
    <row r="36" spans="1:14" s="109" customFormat="1" ht="15" customHeight="1">
      <c r="A36" s="325" t="s">
        <v>30</v>
      </c>
      <c r="B36" s="1096" t="e">
        <f>H6</f>
        <v>#N/A</v>
      </c>
      <c r="C36" s="1097"/>
      <c r="D36" s="1101"/>
      <c r="E36" s="315"/>
      <c r="F36" s="316"/>
      <c r="H36" s="305"/>
      <c r="M36" s="255">
        <v>42062</v>
      </c>
      <c r="N36" s="255">
        <v>42073</v>
      </c>
    </row>
    <row r="37" spans="1:14" s="109" customFormat="1" ht="10.5" customHeight="1" thickBot="1">
      <c r="A37" s="274"/>
      <c r="B37" s="329"/>
      <c r="C37" s="330"/>
      <c r="D37" s="331"/>
      <c r="E37" s="346"/>
      <c r="F37" s="347"/>
      <c r="M37" s="255">
        <v>42076</v>
      </c>
      <c r="N37" s="255">
        <v>42104</v>
      </c>
    </row>
    <row r="38" spans="1:14" s="109" customFormat="1" ht="15" customHeight="1" thickTop="1">
      <c r="A38" s="275" t="s">
        <v>31</v>
      </c>
      <c r="B38" s="1096">
        <f>B34</f>
        <v>0</v>
      </c>
      <c r="C38" s="1097"/>
      <c r="D38" s="1098"/>
      <c r="E38" s="1113" t="s">
        <v>165</v>
      </c>
      <c r="F38" s="1070">
        <f>H8</f>
        <v>0</v>
      </c>
      <c r="M38" s="255">
        <v>42093</v>
      </c>
      <c r="N38" s="255">
        <v>42104</v>
      </c>
    </row>
    <row r="39" spans="1:14" s="109" customFormat="1" ht="10.5" customHeight="1" thickBot="1">
      <c r="A39" s="274"/>
      <c r="B39" s="329"/>
      <c r="C39" s="330"/>
      <c r="D39" s="348"/>
      <c r="E39" s="1114"/>
      <c r="F39" s="1063"/>
      <c r="H39" s="310"/>
      <c r="M39" s="255">
        <v>42109</v>
      </c>
      <c r="N39" s="255">
        <v>42132</v>
      </c>
    </row>
    <row r="40" spans="1:14" s="109" customFormat="1" ht="15" customHeight="1" thickTop="1" thickBot="1">
      <c r="A40" s="280" t="s">
        <v>145</v>
      </c>
      <c r="B40" s="1053" t="e">
        <f>#REF!</f>
        <v>#REF!</v>
      </c>
      <c r="C40" s="1054" t="e">
        <f>#REF!</f>
        <v>#REF!</v>
      </c>
      <c r="D40" s="1055" t="e">
        <f>#REF!</f>
        <v>#REF!</v>
      </c>
      <c r="E40" s="350"/>
      <c r="F40" s="354"/>
      <c r="M40" s="255">
        <v>42124</v>
      </c>
      <c r="N40" s="255">
        <v>42132</v>
      </c>
    </row>
    <row r="41" spans="1:14" s="109" customFormat="1" ht="10.5" customHeight="1" thickTop="1">
      <c r="A41" s="276"/>
      <c r="B41" s="332"/>
      <c r="C41" s="333"/>
      <c r="D41" s="349"/>
      <c r="E41" s="1064" t="s">
        <v>207</v>
      </c>
      <c r="F41" s="1062" t="e">
        <f>H9</f>
        <v>#N/A</v>
      </c>
      <c r="G41" s="120"/>
    </row>
    <row r="42" spans="1:14" s="109" customFormat="1" ht="15" customHeight="1" thickBot="1">
      <c r="A42" s="275"/>
      <c r="B42" s="1059" t="e">
        <f>#REF!</f>
        <v>#REF!</v>
      </c>
      <c r="C42" s="1057" t="e">
        <f>#REF!</f>
        <v>#REF!</v>
      </c>
      <c r="D42" s="1060" t="e">
        <f>#REF!</f>
        <v>#REF!</v>
      </c>
      <c r="E42" s="1065"/>
      <c r="F42" s="1063"/>
    </row>
    <row r="43" spans="1:14" s="109" customFormat="1" ht="15" customHeight="1" thickTop="1">
      <c r="A43" s="276"/>
      <c r="B43" s="334"/>
      <c r="C43" s="335"/>
      <c r="D43" s="336"/>
      <c r="E43" s="343"/>
      <c r="F43" s="317"/>
    </row>
    <row r="44" spans="1:14" s="109" customFormat="1" ht="15" customHeight="1">
      <c r="A44" s="275" t="s">
        <v>32</v>
      </c>
      <c r="B44" s="1056" t="e">
        <f>#REF!</f>
        <v>#REF!</v>
      </c>
      <c r="C44" s="1057"/>
      <c r="D44" s="1058"/>
      <c r="E44" s="344"/>
      <c r="F44" s="345"/>
    </row>
    <row r="45" spans="1:14" s="109" customFormat="1" ht="15" customHeight="1">
      <c r="A45" s="276"/>
      <c r="B45" s="241"/>
      <c r="C45" s="241"/>
      <c r="D45" s="259"/>
      <c r="E45" s="227" t="s">
        <v>153</v>
      </c>
      <c r="F45" s="317">
        <f>IF(F16="無し（2ヶ月以内）","1000000430",IF(F16="有り（2ヶ月以内）","1000000430",IF(F16="有り（3ヶ月以上）","1000000410",)))</f>
        <v>0</v>
      </c>
    </row>
    <row r="46" spans="1:14" s="122" customFormat="1" ht="14.25">
      <c r="A46" s="277" t="s">
        <v>21</v>
      </c>
      <c r="B46" s="1061" t="str">
        <f>IF(F16="有り（3ヶ月以上）","個別支払チェック有り",IF(F16="有り（2ヶ月以内）","個別支払チェック有り",(IF(F16="無し（2ヶ月以内）","個別支払チェック無し","　"))))</f>
        <v>　</v>
      </c>
      <c r="C46" s="1061"/>
      <c r="D46" s="297"/>
      <c r="E46" s="258" t="s">
        <v>159</v>
      </c>
      <c r="F46" s="121">
        <f>IF(F16="無し（2ヶ月以内）","日額丙（アルバイト等）",IF(F16="有り（2ヶ月以内）","日額丙（アルバイト等）",IF(F16="有り（3ヶ月以上）","月額乙（アルバイト等）",)))</f>
        <v>0</v>
      </c>
    </row>
    <row r="47" spans="1:14" ht="14.25" thickBot="1">
      <c r="A47" s="278"/>
      <c r="B47" s="337" t="s">
        <v>210</v>
      </c>
      <c r="C47" s="1066" t="s">
        <v>62</v>
      </c>
      <c r="D47" s="1067"/>
      <c r="E47" s="360" t="s">
        <v>4</v>
      </c>
      <c r="F47" s="240" t="s">
        <v>187</v>
      </c>
      <c r="H47" s="109"/>
    </row>
    <row r="48" spans="1:14" s="109" customFormat="1" ht="14.25" thickTop="1">
      <c r="A48" s="279" t="s">
        <v>94</v>
      </c>
      <c r="B48" s="262" t="s">
        <v>79</v>
      </c>
      <c r="C48" s="1119" t="s">
        <v>79</v>
      </c>
      <c r="D48" s="1120"/>
      <c r="E48" s="239" t="s">
        <v>79</v>
      </c>
      <c r="F48" s="288" t="s">
        <v>79</v>
      </c>
    </row>
    <row r="49" spans="1:11" s="109" customFormat="1">
      <c r="A49" s="280"/>
      <c r="B49" s="263"/>
      <c r="C49" s="1121"/>
      <c r="D49" s="1122"/>
      <c r="E49" s="291"/>
      <c r="F49" s="123"/>
    </row>
    <row r="50" spans="1:11" s="109" customFormat="1">
      <c r="A50" s="280" t="s">
        <v>189</v>
      </c>
      <c r="B50" s="264" t="e">
        <f>INDEX(#REF!, MATCH($B$26,#REF!,), MATCH("負担部門ｺｰﾄﾞ",#REF!,))</f>
        <v>#REF!</v>
      </c>
      <c r="C50" s="1068"/>
      <c r="D50" s="1069"/>
      <c r="E50" s="224"/>
      <c r="F50" s="289"/>
    </row>
    <row r="51" spans="1:11" s="109" customFormat="1">
      <c r="A51" s="280" t="s">
        <v>190</v>
      </c>
      <c r="B51" s="264" t="e">
        <f>INDEX(#REF!, MATCH($B$26,#REF!,), MATCH("予算科目ｺｰﾄﾞ",#REF!,))</f>
        <v>#REF!</v>
      </c>
      <c r="C51" s="1068"/>
      <c r="D51" s="1069"/>
      <c r="E51" s="224"/>
      <c r="F51" s="289"/>
    </row>
    <row r="52" spans="1:11" s="109" customFormat="1">
      <c r="A52" s="280" t="s">
        <v>191</v>
      </c>
      <c r="B52" s="403" t="e">
        <f>C26</f>
        <v>#REF!</v>
      </c>
      <c r="C52" s="1092"/>
      <c r="D52" s="1093"/>
      <c r="E52" s="234"/>
      <c r="F52" s="290"/>
    </row>
    <row r="53" spans="1:11" s="109" customFormat="1" ht="13.5" customHeight="1">
      <c r="A53" s="280" t="s">
        <v>192</v>
      </c>
      <c r="B53" s="264" t="e">
        <f>INDEX(#REF!, MATCH($B$26,#REF!,), MATCH("財源",#REF!,))</f>
        <v>#REF!</v>
      </c>
      <c r="C53" s="1068"/>
      <c r="D53" s="1069"/>
      <c r="E53" s="224"/>
      <c r="F53" s="289"/>
    </row>
    <row r="54" spans="1:11" s="109" customFormat="1">
      <c r="A54" s="280" t="s">
        <v>193</v>
      </c>
      <c r="B54" s="264" t="e">
        <f>INDEX(#REF!, MATCH($B$26,#REF!,), MATCH("業務区分（賃金）",#REF!,))</f>
        <v>#REF!</v>
      </c>
      <c r="C54" s="1068"/>
      <c r="D54" s="1069"/>
      <c r="E54" s="224"/>
      <c r="F54" s="289"/>
    </row>
    <row r="55" spans="1:11" s="109" customFormat="1">
      <c r="A55" s="281" t="s">
        <v>194</v>
      </c>
      <c r="B55" s="265" t="s">
        <v>202</v>
      </c>
      <c r="C55" s="1117" t="s">
        <v>204</v>
      </c>
      <c r="D55" s="1118"/>
      <c r="E55" s="225" t="s">
        <v>204</v>
      </c>
      <c r="F55" s="359" t="s">
        <v>203</v>
      </c>
      <c r="G55" s="358"/>
      <c r="H55" s="1052"/>
      <c r="I55" s="1052"/>
      <c r="J55" s="358"/>
      <c r="K55" s="358"/>
    </row>
    <row r="56" spans="1:11" s="109" customFormat="1">
      <c r="A56" s="281" t="s">
        <v>195</v>
      </c>
      <c r="B56" s="265" t="s">
        <v>201</v>
      </c>
      <c r="C56" s="1117" t="s">
        <v>93</v>
      </c>
      <c r="D56" s="1118"/>
      <c r="E56" s="398" t="s">
        <v>80</v>
      </c>
      <c r="F56" s="359" t="s">
        <v>200</v>
      </c>
      <c r="G56" s="358"/>
      <c r="H56" s="1052"/>
      <c r="I56" s="1052"/>
      <c r="J56" s="358"/>
      <c r="K56" s="358"/>
    </row>
    <row r="57" spans="1:11" s="109" customFormat="1">
      <c r="A57" s="281" t="s">
        <v>196</v>
      </c>
      <c r="B57" s="318" t="e">
        <f>INDEX(#REF!, MATCH($B$26,#REF!,), MATCH("コース名",#REF!,))</f>
        <v>#REF!</v>
      </c>
      <c r="C57" s="1094"/>
      <c r="D57" s="1095"/>
      <c r="E57" s="226"/>
      <c r="F57" s="222"/>
    </row>
    <row r="58" spans="1:11" s="109" customFormat="1" ht="14.25">
      <c r="A58" s="281" t="s">
        <v>197</v>
      </c>
      <c r="B58" s="266" t="e">
        <f>F23</f>
        <v>#REF!</v>
      </c>
      <c r="C58" s="1099" t="e">
        <f>F21</f>
        <v>#REF!</v>
      </c>
      <c r="D58" s="1100"/>
      <c r="E58" s="294">
        <f>F22</f>
        <v>0</v>
      </c>
      <c r="F58" s="223">
        <f>F24</f>
        <v>0</v>
      </c>
    </row>
    <row r="59" spans="1:11" s="109" customFormat="1">
      <c r="A59" s="282"/>
      <c r="B59" s="267"/>
      <c r="C59" s="1090"/>
      <c r="D59" s="1091"/>
      <c r="E59" s="295"/>
      <c r="F59" s="292"/>
    </row>
    <row r="60" spans="1:11">
      <c r="A60" s="283" t="s">
        <v>188</v>
      </c>
      <c r="B60" s="268" t="s">
        <v>158</v>
      </c>
      <c r="C60" s="1107" t="s">
        <v>158</v>
      </c>
      <c r="D60" s="1108"/>
      <c r="E60" s="296" t="s">
        <v>158</v>
      </c>
      <c r="F60" s="361" t="s">
        <v>198</v>
      </c>
    </row>
    <row r="61" spans="1:11">
      <c r="A61" s="284"/>
      <c r="B61" s="269"/>
      <c r="C61" s="338"/>
      <c r="D61" s="269"/>
      <c r="E61" s="237"/>
      <c r="F61" s="293"/>
    </row>
    <row r="62" spans="1:11" ht="14.25">
      <c r="A62" s="285" t="s">
        <v>66</v>
      </c>
      <c r="B62" s="270" t="e">
        <f>INDEX(#REF!, MATCH($B$26,#REF!,), MATCH("借勘定（賃金）",#REF!,))</f>
        <v>#REF!</v>
      </c>
      <c r="C62" s="1109" t="e">
        <f>INDEX(#REF!, MATCH($B$26,#REF!,), MATCH("借勘定（賃金）",#REF!,))</f>
        <v>#REF!</v>
      </c>
      <c r="D62" s="1110" t="e">
        <f>INDEX(#REF!, MATCH($B$26,#REF!,), MATCH("借勘定（賃金）",#REF!,))</f>
        <v>#REF!</v>
      </c>
      <c r="E62" s="366" t="e">
        <f>INDEX(#REF!, MATCH($B$26,#REF!,), MATCH("借勘定（賃金）",#REF!,))</f>
        <v>#REF!</v>
      </c>
      <c r="F62" s="368" t="e">
        <f>INDEX(#REF!, MATCH($B$26,#REF!,), MATCH("通勤手当（借方）",#REF!,))</f>
        <v>#REF!</v>
      </c>
    </row>
    <row r="63" spans="1:11">
      <c r="A63" s="286"/>
      <c r="B63" s="271" t="s">
        <v>48</v>
      </c>
      <c r="C63" s="1115" t="s">
        <v>48</v>
      </c>
      <c r="D63" s="1116"/>
      <c r="E63" s="271" t="s">
        <v>48</v>
      </c>
      <c r="F63" s="359" t="s">
        <v>231</v>
      </c>
      <c r="H63" s="109"/>
    </row>
    <row r="64" spans="1:11" ht="14.25">
      <c r="A64" s="273" t="s">
        <v>67</v>
      </c>
      <c r="B64" s="270" t="e">
        <f>INDEX(#REF!, MATCH($B$26,#REF!,), MATCH("貸勘定（賃金）",#REF!,))</f>
        <v>#REF!</v>
      </c>
      <c r="C64" s="1111" t="s">
        <v>96</v>
      </c>
      <c r="D64" s="1112"/>
      <c r="E64" s="399" t="s">
        <v>98</v>
      </c>
      <c r="F64" s="401" t="e">
        <f>INDEX(#REF!, MATCH($B$26,#REF!,), MATCH("貸勘定（賃金）",#REF!,))</f>
        <v>#REF!</v>
      </c>
      <c r="H64" s="362"/>
      <c r="I64" s="362"/>
    </row>
    <row r="65" spans="1:6" ht="14.25">
      <c r="A65" s="287"/>
      <c r="B65" s="102"/>
      <c r="C65" s="1105" t="s">
        <v>99</v>
      </c>
      <c r="D65" s="1106"/>
      <c r="E65" s="400" t="s">
        <v>97</v>
      </c>
      <c r="F65" s="402"/>
    </row>
    <row r="66" spans="1:6">
      <c r="A66" s="261"/>
      <c r="B66" s="272" t="s">
        <v>47</v>
      </c>
      <c r="C66" s="339" t="s">
        <v>47</v>
      </c>
      <c r="D66" s="272"/>
      <c r="E66" s="238" t="s">
        <v>47</v>
      </c>
      <c r="F66" s="124" t="s">
        <v>47</v>
      </c>
    </row>
    <row r="67" spans="1:6" ht="18.75" customHeight="1">
      <c r="A67" s="235"/>
      <c r="B67" s="125"/>
      <c r="C67" s="125"/>
      <c r="D67" s="125"/>
      <c r="E67" s="125"/>
      <c r="F67" s="236" t="s">
        <v>9</v>
      </c>
    </row>
    <row r="68" spans="1:6" s="128" customFormat="1" ht="9">
      <c r="A68" s="126"/>
      <c r="B68" s="127"/>
      <c r="C68" s="127"/>
      <c r="D68" s="127"/>
      <c r="E68" s="126"/>
      <c r="F68" s="127"/>
    </row>
    <row r="69" spans="1:6">
      <c r="F69" s="129" t="s">
        <v>86</v>
      </c>
    </row>
    <row r="70" spans="1:6">
      <c r="F70" s="129" t="s">
        <v>7</v>
      </c>
    </row>
    <row r="71" spans="1:6">
      <c r="F71" s="129" t="s">
        <v>118</v>
      </c>
    </row>
    <row r="73" spans="1:6">
      <c r="F73" s="130" t="s">
        <v>85</v>
      </c>
    </row>
    <row r="74" spans="1:6">
      <c r="F74" s="131" t="s">
        <v>81</v>
      </c>
    </row>
    <row r="75" spans="1:6">
      <c r="F75" s="131" t="s">
        <v>154</v>
      </c>
    </row>
    <row r="76" spans="1:6">
      <c r="F76" s="131" t="s">
        <v>155</v>
      </c>
    </row>
    <row r="77" spans="1:6">
      <c r="F77" s="131" t="s">
        <v>130</v>
      </c>
    </row>
    <row r="78" spans="1:6">
      <c r="F78" s="131"/>
    </row>
    <row r="79" spans="1:6">
      <c r="F79" s="95" t="s">
        <v>124</v>
      </c>
    </row>
    <row r="80" spans="1:6">
      <c r="F80" s="95" t="s">
        <v>125</v>
      </c>
    </row>
    <row r="81" spans="6:6">
      <c r="F81" s="95" t="s">
        <v>126</v>
      </c>
    </row>
    <row r="82" spans="6:6">
      <c r="F82" s="95" t="s">
        <v>127</v>
      </c>
    </row>
    <row r="84" spans="6:6">
      <c r="F84" s="95" t="s">
        <v>230</v>
      </c>
    </row>
    <row r="85" spans="6:6">
      <c r="F85" s="95" t="s">
        <v>231</v>
      </c>
    </row>
    <row r="86" spans="6:6">
      <c r="F86" s="95" t="s">
        <v>232</v>
      </c>
    </row>
    <row r="87" spans="6:6">
      <c r="F87" s="95" t="s">
        <v>233</v>
      </c>
    </row>
  </sheetData>
  <protectedRanges>
    <protectedRange sqref="F41:F42" name="範囲11"/>
    <protectedRange sqref="B38:D38" name="範囲9"/>
    <protectedRange sqref="F36 F34" name="範囲7"/>
    <protectedRange sqref="H4:H5 F19" name="範囲5"/>
    <protectedRange sqref="F16" name="範囲3"/>
    <protectedRange sqref="E15:F15" name="範囲2"/>
    <protectedRange sqref="F17" name="範囲4"/>
    <protectedRange sqref="E32:E33" name="範囲6"/>
    <protectedRange sqref="B36:D36 H2:H3 J2:J3 H7:H8 B34:D34" name="範囲8"/>
    <protectedRange sqref="F38 F40" name="範囲10"/>
    <protectedRange sqref="A16" name="範囲1_1"/>
    <protectedRange sqref="H6" name="範囲8_1_1"/>
    <protectedRange sqref="H9" name="範囲8_1_1_1"/>
  </protectedRanges>
  <mergeCells count="60">
    <mergeCell ref="C65:D65"/>
    <mergeCell ref="C60:D60"/>
    <mergeCell ref="C62:D62"/>
    <mergeCell ref="C64:D64"/>
    <mergeCell ref="E38:E39"/>
    <mergeCell ref="C63:D63"/>
    <mergeCell ref="C55:D55"/>
    <mergeCell ref="C56:D56"/>
    <mergeCell ref="C48:D48"/>
    <mergeCell ref="C49:D49"/>
    <mergeCell ref="C26:D26"/>
    <mergeCell ref="B28:D28"/>
    <mergeCell ref="C59:D59"/>
    <mergeCell ref="C52:D52"/>
    <mergeCell ref="C53:D53"/>
    <mergeCell ref="C57:D57"/>
    <mergeCell ref="B38:D38"/>
    <mergeCell ref="C50:D50"/>
    <mergeCell ref="C58:D58"/>
    <mergeCell ref="B27:D27"/>
    <mergeCell ref="B36:D36"/>
    <mergeCell ref="C51:D51"/>
    <mergeCell ref="B34:D34"/>
    <mergeCell ref="A32:A33"/>
    <mergeCell ref="B31:D31"/>
    <mergeCell ref="B32:D33"/>
    <mergeCell ref="B29:D29"/>
    <mergeCell ref="B30:D30"/>
    <mergeCell ref="A18:B18"/>
    <mergeCell ref="A20:D20"/>
    <mergeCell ref="B23:D23"/>
    <mergeCell ref="H55:I55"/>
    <mergeCell ref="H56:I56"/>
    <mergeCell ref="B40:D40"/>
    <mergeCell ref="B44:D44"/>
    <mergeCell ref="B42:D42"/>
    <mergeCell ref="B46:C46"/>
    <mergeCell ref="F41:F42"/>
    <mergeCell ref="E41:E42"/>
    <mergeCell ref="C47:D47"/>
    <mergeCell ref="C54:D54"/>
    <mergeCell ref="F38:F39"/>
    <mergeCell ref="E32:E33"/>
    <mergeCell ref="F32:F33"/>
    <mergeCell ref="H5:I5"/>
    <mergeCell ref="H3:I3"/>
    <mergeCell ref="H4:I4"/>
    <mergeCell ref="B25:D25"/>
    <mergeCell ref="A12:A14"/>
    <mergeCell ref="G20:J20"/>
    <mergeCell ref="F11:F12"/>
    <mergeCell ref="E15:F15"/>
    <mergeCell ref="E13:E14"/>
    <mergeCell ref="A21:D21"/>
    <mergeCell ref="F13:F14"/>
    <mergeCell ref="B24:D24"/>
    <mergeCell ref="A16:B16"/>
    <mergeCell ref="C16:D16"/>
    <mergeCell ref="A17:D17"/>
    <mergeCell ref="A19:D19"/>
  </mergeCells>
  <phoneticPr fontId="3"/>
  <dataValidations count="4">
    <dataValidation type="list" allowBlank="1" showInputMessage="1" showErrorMessage="1" sqref="F16">
      <formula1>$F$74:$F$77</formula1>
    </dataValidation>
    <dataValidation type="list" allowBlank="1" showInputMessage="1" showErrorMessage="1" sqref="F17">
      <formula1>$F$80:$F$82</formula1>
    </dataValidation>
    <dataValidation imeMode="hiragana" allowBlank="1" showInputMessage="1" showErrorMessage="1" sqref="E16"/>
    <dataValidation type="list" allowBlank="1" showInputMessage="1" showErrorMessage="1" sqref="F63">
      <formula1>$F$84:$F$87</formula1>
    </dataValidation>
  </dataValidations>
  <printOptions horizontalCentered="1"/>
  <pageMargins left="0.59055118110236227" right="0" top="0.19685039370078741" bottom="0" header="0.39370078740157483" footer="0"/>
  <pageSetup paperSize="9" scale="99" orientation="portrait" r:id="rId1"/>
  <headerFooter alignWithMargins="0"/>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3"/>
  <sheetViews>
    <sheetView view="pageBreakPreview" topLeftCell="A10" zoomScaleNormal="100" zoomScaleSheetLayoutView="100" workbookViewId="0">
      <selection activeCell="C18" sqref="C18:F18"/>
    </sheetView>
  </sheetViews>
  <sheetFormatPr defaultRowHeight="27" customHeight="1"/>
  <cols>
    <col min="1" max="2" width="20.625" customWidth="1"/>
    <col min="3" max="6" width="11.125" customWidth="1"/>
    <col min="7" max="7" width="20.625" customWidth="1"/>
    <col min="8" max="8" width="14.875" customWidth="1"/>
    <col min="9" max="9" width="21" customWidth="1"/>
  </cols>
  <sheetData>
    <row r="1" spans="1:6" ht="27" customHeight="1">
      <c r="A1" s="1125" t="s">
        <v>68</v>
      </c>
      <c r="B1" s="1125"/>
      <c r="C1" s="1125"/>
      <c r="D1" s="1125"/>
      <c r="E1" s="1125"/>
      <c r="F1" s="1125"/>
    </row>
    <row r="2" spans="1:6" ht="27" customHeight="1">
      <c r="A2" s="73"/>
      <c r="B2" s="73"/>
      <c r="C2" s="73"/>
      <c r="D2" s="73"/>
      <c r="E2" s="73"/>
      <c r="F2" s="73"/>
    </row>
    <row r="3" spans="1:6" ht="24" customHeight="1">
      <c r="A3" s="1126" t="s">
        <v>69</v>
      </c>
      <c r="B3" s="1127"/>
      <c r="C3" s="1130" t="e">
        <f>'事務室処理用　財務会計支払'!B25</f>
        <v>#REF!</v>
      </c>
      <c r="D3" s="1131"/>
      <c r="E3" s="1131"/>
      <c r="F3" s="1132"/>
    </row>
    <row r="4" spans="1:6" ht="24" customHeight="1">
      <c r="A4" s="1126" t="s">
        <v>70</v>
      </c>
      <c r="B4" s="1127"/>
      <c r="C4" s="1130" t="e">
        <f>'事務室処理用　財務会計支払'!B29</f>
        <v>#REF!</v>
      </c>
      <c r="D4" s="1131"/>
      <c r="E4" s="1131"/>
      <c r="F4" s="1132"/>
    </row>
    <row r="5" spans="1:6" ht="24" customHeight="1">
      <c r="A5" s="74"/>
      <c r="B5" s="75"/>
      <c r="C5" s="248"/>
      <c r="D5" s="248"/>
      <c r="E5" s="248"/>
      <c r="F5" s="76"/>
    </row>
    <row r="6" spans="1:6" ht="24" customHeight="1">
      <c r="A6" s="1128" t="s">
        <v>76</v>
      </c>
      <c r="B6" s="1129"/>
      <c r="C6" s="1133" t="e">
        <f>'事務室処理用　財務会計支払'!B42</f>
        <v>#REF!</v>
      </c>
      <c r="D6" s="1134"/>
      <c r="E6" s="1134"/>
      <c r="F6" s="1135"/>
    </row>
    <row r="7" spans="1:6" ht="24" customHeight="1">
      <c r="A7" s="1138" t="s">
        <v>145</v>
      </c>
      <c r="B7" s="1139"/>
      <c r="C7" s="1149" t="e">
        <f>'事務室処理用　財務会計支払'!B40</f>
        <v>#REF!</v>
      </c>
      <c r="D7" s="1150"/>
      <c r="E7" s="1150"/>
      <c r="F7" s="1151"/>
    </row>
    <row r="8" spans="1:6" ht="24" customHeight="1">
      <c r="A8" s="77"/>
      <c r="B8" s="78"/>
      <c r="C8" s="248"/>
      <c r="D8" s="248"/>
      <c r="E8" s="248"/>
      <c r="F8" s="79"/>
    </row>
    <row r="9" spans="1:6" ht="24" customHeight="1">
      <c r="A9" s="1126" t="s">
        <v>71</v>
      </c>
      <c r="B9" s="1127"/>
      <c r="C9" s="1152" t="str">
        <f>'事務室処理用　財務会計支払'!E15</f>
        <v>　　　平成年月分　　　</v>
      </c>
      <c r="D9" s="1153"/>
      <c r="E9" s="1153"/>
      <c r="F9" s="1154"/>
    </row>
    <row r="10" spans="1:6" ht="24" customHeight="1">
      <c r="A10" s="1136" t="s">
        <v>213</v>
      </c>
      <c r="B10" s="1137"/>
      <c r="C10" s="1158" t="e">
        <f>'事務室処理用　財務会計支払'!F20</f>
        <v>#REF!</v>
      </c>
      <c r="D10" s="1159"/>
      <c r="E10" s="1159"/>
      <c r="F10" s="1160"/>
    </row>
    <row r="11" spans="1:6" ht="24" customHeight="1">
      <c r="A11" s="1138"/>
      <c r="B11" s="1139"/>
      <c r="C11" s="378" t="s">
        <v>72</v>
      </c>
      <c r="D11" s="250" t="e">
        <f>'事務室処理用　財務会計支払'!F18</f>
        <v>#REF!</v>
      </c>
      <c r="E11" s="378" t="s">
        <v>120</v>
      </c>
      <c r="F11" s="249">
        <f>'事務室処理用　財務会計支払'!F19</f>
        <v>0</v>
      </c>
    </row>
    <row r="12" spans="1:6" ht="24" customHeight="1">
      <c r="A12" s="1136" t="s">
        <v>187</v>
      </c>
      <c r="B12" s="1137"/>
      <c r="C12" s="1155">
        <f>'事務室処理用　財務会計支払'!F24</f>
        <v>0</v>
      </c>
      <c r="D12" s="1156"/>
      <c r="E12" s="1156"/>
      <c r="F12" s="1157"/>
    </row>
    <row r="13" spans="1:6" ht="24" customHeight="1">
      <c r="A13" s="1138"/>
      <c r="B13" s="1139"/>
      <c r="C13" s="379" t="s">
        <v>222</v>
      </c>
      <c r="D13" s="250">
        <f>'事務室処理用　財務会計支払'!F27</f>
        <v>0</v>
      </c>
      <c r="E13" s="378" t="s">
        <v>65</v>
      </c>
      <c r="F13" s="251">
        <f>'事務室処理用　財務会計支払'!F28</f>
        <v>0</v>
      </c>
    </row>
    <row r="14" spans="1:6" ht="24" customHeight="1">
      <c r="A14" s="1126" t="s">
        <v>217</v>
      </c>
      <c r="B14" s="1127"/>
      <c r="C14" s="1144" t="e">
        <f>C10+C12</f>
        <v>#REF!</v>
      </c>
      <c r="D14" s="1145"/>
      <c r="E14" s="1145"/>
      <c r="F14" s="1146"/>
    </row>
    <row r="15" spans="1:6" ht="24" customHeight="1">
      <c r="A15" s="380"/>
      <c r="B15" s="380"/>
      <c r="C15" s="380"/>
      <c r="D15" s="380"/>
      <c r="E15" s="380"/>
      <c r="F15" s="380"/>
    </row>
    <row r="16" spans="1:6" ht="24" customHeight="1">
      <c r="A16" s="1140" t="s">
        <v>73</v>
      </c>
      <c r="B16" s="389" t="s">
        <v>223</v>
      </c>
      <c r="C16" s="1144">
        <f>'事務室処理用　財務会計支払'!F22</f>
        <v>0</v>
      </c>
      <c r="D16" s="1145"/>
      <c r="E16" s="1145"/>
      <c r="F16" s="1146"/>
    </row>
    <row r="17" spans="1:6" ht="24" customHeight="1">
      <c r="A17" s="1141"/>
      <c r="B17" s="389" t="s">
        <v>224</v>
      </c>
      <c r="C17" s="1144" t="e">
        <f>'事務室処理用　財務会計支払'!F21</f>
        <v>#REF!</v>
      </c>
      <c r="D17" s="1145"/>
      <c r="E17" s="1145"/>
      <c r="F17" s="1146"/>
    </row>
    <row r="18" spans="1:6" ht="24" customHeight="1">
      <c r="A18" s="1126" t="s">
        <v>218</v>
      </c>
      <c r="B18" s="1127"/>
      <c r="C18" s="1144" t="e">
        <f>C16+C17</f>
        <v>#REF!</v>
      </c>
      <c r="D18" s="1145"/>
      <c r="E18" s="1145"/>
      <c r="F18" s="1146"/>
    </row>
    <row r="19" spans="1:6" ht="24" customHeight="1">
      <c r="A19" s="380"/>
      <c r="B19" s="380"/>
      <c r="C19" s="380"/>
      <c r="D19" s="380"/>
      <c r="E19" s="380"/>
      <c r="F19" s="380"/>
    </row>
    <row r="20" spans="1:6" ht="24" customHeight="1">
      <c r="A20" s="1126" t="s">
        <v>74</v>
      </c>
      <c r="B20" s="1127"/>
      <c r="C20" s="1144" t="e">
        <f>'事務室処理用　財務会計支払'!F25</f>
        <v>#REF!</v>
      </c>
      <c r="D20" s="1145"/>
      <c r="E20" s="1145"/>
      <c r="F20" s="1146"/>
    </row>
    <row r="21" spans="1:6" ht="24" customHeight="1">
      <c r="A21" s="1126" t="s">
        <v>215</v>
      </c>
      <c r="B21" s="1127"/>
      <c r="C21" s="1144" t="e">
        <f>'事務室処理用　財務会計支払'!F25</f>
        <v>#REF!</v>
      </c>
      <c r="D21" s="1145"/>
      <c r="E21" s="1145"/>
      <c r="F21" s="1146"/>
    </row>
    <row r="22" spans="1:6" ht="24" customHeight="1">
      <c r="A22" s="1126" t="s">
        <v>75</v>
      </c>
      <c r="B22" s="1127"/>
      <c r="C22" s="1161">
        <f>'事務室処理用　財務会計支払'!F38</f>
        <v>0</v>
      </c>
      <c r="D22" s="1162"/>
      <c r="E22" s="1162"/>
      <c r="F22" s="1163"/>
    </row>
    <row r="23" spans="1:6" ht="24" customHeight="1"/>
    <row r="24" spans="1:6" ht="24" customHeight="1">
      <c r="A24" s="381" t="s">
        <v>216</v>
      </c>
    </row>
    <row r="25" spans="1:6" ht="24" customHeight="1">
      <c r="B25" s="383"/>
      <c r="C25" s="383"/>
      <c r="D25" s="383"/>
      <c r="E25" s="80"/>
    </row>
    <row r="26" spans="1:6" ht="24" customHeight="1">
      <c r="B26" s="383"/>
      <c r="C26" s="383"/>
      <c r="D26" s="383"/>
      <c r="E26" s="80"/>
    </row>
    <row r="27" spans="1:6" ht="24" customHeight="1">
      <c r="D27" s="81"/>
      <c r="E27" s="81"/>
    </row>
    <row r="28" spans="1:6" ht="24" customHeight="1">
      <c r="C28" s="382" t="s">
        <v>220</v>
      </c>
      <c r="D28" s="82"/>
      <c r="E28" s="82"/>
    </row>
    <row r="29" spans="1:6" ht="24" customHeight="1">
      <c r="C29" s="383" t="s">
        <v>214</v>
      </c>
      <c r="D29" s="82"/>
      <c r="E29" s="82"/>
    </row>
    <row r="30" spans="1:6" ht="24" customHeight="1">
      <c r="B30" s="83"/>
      <c r="C30" s="383" t="s">
        <v>221</v>
      </c>
      <c r="D30" s="83"/>
      <c r="E30" s="83"/>
    </row>
    <row r="31" spans="1:6" ht="18" customHeight="1">
      <c r="B31" s="83"/>
      <c r="C31" s="375"/>
      <c r="D31" s="83"/>
      <c r="E31" s="83"/>
    </row>
    <row r="32" spans="1:6" ht="18" customHeight="1">
      <c r="B32" s="83"/>
      <c r="C32" s="83"/>
      <c r="D32" s="83"/>
      <c r="E32" s="83"/>
    </row>
    <row r="33" spans="1:6" ht="18" customHeight="1">
      <c r="E33" s="384"/>
      <c r="F33" s="385" t="s">
        <v>162</v>
      </c>
    </row>
    <row r="34" spans="1:6" ht="18" customHeight="1">
      <c r="E34" s="384"/>
      <c r="F34" s="386" t="e">
        <f>'事務室処理用　財務会計支払'!B26</f>
        <v>#REF!</v>
      </c>
    </row>
    <row r="35" spans="1:6" ht="21.75" customHeight="1">
      <c r="A35" s="1164" t="s">
        <v>68</v>
      </c>
      <c r="B35" s="1164"/>
      <c r="C35" s="1164"/>
      <c r="D35" s="1164"/>
      <c r="E35" s="387" t="s">
        <v>163</v>
      </c>
      <c r="F35" s="388">
        <f>C22</f>
        <v>0</v>
      </c>
    </row>
    <row r="36" spans="1:6" ht="27" customHeight="1">
      <c r="A36" s="1165"/>
      <c r="B36" s="1165"/>
      <c r="C36" s="1165"/>
      <c r="D36" s="1165"/>
      <c r="E36" s="1147" t="str">
        <f>C9</f>
        <v>　　　平成年月分　　　</v>
      </c>
      <c r="F36" s="1148"/>
    </row>
    <row r="37" spans="1:6" ht="27" customHeight="1">
      <c r="A37" s="1126" t="s">
        <v>69</v>
      </c>
      <c r="B37" s="1127"/>
      <c r="C37" s="1130" t="e">
        <f>C3</f>
        <v>#REF!</v>
      </c>
      <c r="D37" s="1131"/>
      <c r="E37" s="1131"/>
      <c r="F37" s="1132"/>
    </row>
    <row r="38" spans="1:6" ht="27" customHeight="1">
      <c r="A38" s="1126" t="s">
        <v>70</v>
      </c>
      <c r="B38" s="1127"/>
      <c r="C38" s="1130" t="e">
        <f>C4</f>
        <v>#REF!</v>
      </c>
      <c r="D38" s="1131"/>
      <c r="E38" s="1131"/>
      <c r="F38" s="1132"/>
    </row>
    <row r="39" spans="1:6" ht="27" customHeight="1">
      <c r="A39" s="1128" t="s">
        <v>76</v>
      </c>
      <c r="B39" s="1129"/>
      <c r="C39" s="1133" t="e">
        <f>C6</f>
        <v>#REF!</v>
      </c>
      <c r="D39" s="1134"/>
      <c r="E39" s="1134"/>
      <c r="F39" s="1135"/>
    </row>
    <row r="40" spans="1:6" ht="27" customHeight="1">
      <c r="A40" s="1138" t="s">
        <v>145</v>
      </c>
      <c r="B40" s="1139"/>
      <c r="C40" s="1149" t="e">
        <f>C7</f>
        <v>#REF!</v>
      </c>
      <c r="D40" s="1150"/>
      <c r="E40" s="1150"/>
      <c r="F40" s="1151"/>
    </row>
    <row r="41" spans="1:6" ht="27" customHeight="1">
      <c r="A41" s="1142" t="s">
        <v>219</v>
      </c>
      <c r="B41" s="1143"/>
      <c r="C41" s="1143"/>
      <c r="D41" s="1143"/>
      <c r="E41" s="1143"/>
      <c r="F41" s="1143"/>
    </row>
    <row r="42" spans="1:6" ht="27" customHeight="1">
      <c r="A42" s="1123" t="s">
        <v>219</v>
      </c>
      <c r="B42" s="1124"/>
      <c r="C42" s="1124"/>
      <c r="D42" s="1124"/>
      <c r="E42" s="1124"/>
      <c r="F42" s="1124"/>
    </row>
    <row r="43" spans="1:6" ht="27" customHeight="1">
      <c r="A43" s="1123" t="s">
        <v>219</v>
      </c>
      <c r="B43" s="1124"/>
      <c r="C43" s="1124"/>
      <c r="D43" s="1124"/>
      <c r="E43" s="1124"/>
      <c r="F43" s="1124"/>
    </row>
    <row r="44" spans="1:6" ht="27" customHeight="1">
      <c r="A44" s="1123" t="s">
        <v>219</v>
      </c>
      <c r="B44" s="1124"/>
      <c r="C44" s="1124"/>
      <c r="D44" s="1124"/>
      <c r="E44" s="1124"/>
      <c r="F44" s="1124"/>
    </row>
    <row r="45" spans="1:6" ht="27" customHeight="1">
      <c r="A45" s="1123" t="s">
        <v>219</v>
      </c>
      <c r="B45" s="1124"/>
      <c r="C45" s="1124"/>
      <c r="D45" s="1124"/>
      <c r="E45" s="1124"/>
      <c r="F45" s="1124"/>
    </row>
    <row r="46" spans="1:6" ht="27" customHeight="1">
      <c r="A46" s="1123" t="s">
        <v>219</v>
      </c>
      <c r="B46" s="1124"/>
      <c r="C46" s="1124"/>
      <c r="D46" s="1124"/>
      <c r="E46" s="1124"/>
      <c r="F46" s="1124"/>
    </row>
    <row r="47" spans="1:6" ht="27" customHeight="1">
      <c r="A47" s="1123" t="s">
        <v>219</v>
      </c>
      <c r="B47" s="1124"/>
      <c r="C47" s="1124"/>
      <c r="D47" s="1124"/>
      <c r="E47" s="1124"/>
      <c r="F47" s="1124"/>
    </row>
    <row r="48" spans="1:6" ht="27" customHeight="1">
      <c r="A48" s="1123" t="s">
        <v>219</v>
      </c>
      <c r="B48" s="1124"/>
      <c r="C48" s="1124"/>
      <c r="D48" s="1124"/>
      <c r="E48" s="1124"/>
      <c r="F48" s="1124"/>
    </row>
    <row r="49" spans="1:6" ht="27" customHeight="1">
      <c r="A49" s="1123" t="s">
        <v>219</v>
      </c>
      <c r="B49" s="1124"/>
      <c r="C49" s="1124"/>
      <c r="D49" s="1124"/>
      <c r="E49" s="1124"/>
      <c r="F49" s="1124"/>
    </row>
    <row r="50" spans="1:6" ht="27" customHeight="1">
      <c r="A50" s="1123" t="s">
        <v>219</v>
      </c>
      <c r="B50" s="1124"/>
      <c r="C50" s="1124"/>
      <c r="D50" s="1124"/>
      <c r="E50" s="1124"/>
      <c r="F50" s="1124"/>
    </row>
    <row r="51" spans="1:6" ht="27" customHeight="1">
      <c r="A51" s="1123" t="s">
        <v>219</v>
      </c>
      <c r="B51" s="1124"/>
      <c r="C51" s="1124"/>
      <c r="D51" s="1124"/>
      <c r="E51" s="1124"/>
      <c r="F51" s="1124"/>
    </row>
    <row r="52" spans="1:6" ht="27" customHeight="1">
      <c r="A52" s="1123" t="s">
        <v>219</v>
      </c>
      <c r="B52" s="1124"/>
      <c r="C52" s="1124"/>
      <c r="D52" s="1124"/>
      <c r="E52" s="1124"/>
      <c r="F52" s="1124"/>
    </row>
    <row r="53" spans="1:6" ht="27" customHeight="1">
      <c r="A53" s="1123" t="s">
        <v>219</v>
      </c>
      <c r="B53" s="1124"/>
      <c r="C53" s="1124"/>
      <c r="D53" s="1124"/>
      <c r="E53" s="1124"/>
      <c r="F53" s="1124"/>
    </row>
    <row r="54" spans="1:6" ht="27" customHeight="1">
      <c r="A54" s="1123" t="s">
        <v>219</v>
      </c>
      <c r="B54" s="1124"/>
      <c r="C54" s="1124"/>
      <c r="D54" s="1124"/>
      <c r="E54" s="1124"/>
      <c r="F54" s="1124"/>
    </row>
    <row r="55" spans="1:6" ht="27" customHeight="1">
      <c r="A55" s="1123" t="s">
        <v>219</v>
      </c>
      <c r="B55" s="1124"/>
      <c r="C55" s="1124"/>
      <c r="D55" s="1124"/>
      <c r="E55" s="1124"/>
      <c r="F55" s="1124"/>
    </row>
    <row r="56" spans="1:6" ht="27" customHeight="1">
      <c r="A56" s="1123" t="s">
        <v>219</v>
      </c>
      <c r="B56" s="1124"/>
      <c r="C56" s="1124"/>
      <c r="D56" s="1124"/>
      <c r="E56" s="1124"/>
      <c r="F56" s="1124"/>
    </row>
    <row r="57" spans="1:6" ht="27" customHeight="1">
      <c r="A57" s="1123" t="s">
        <v>219</v>
      </c>
      <c r="B57" s="1124"/>
      <c r="C57" s="1124"/>
      <c r="D57" s="1124"/>
      <c r="E57" s="1124"/>
      <c r="F57" s="1124"/>
    </row>
    <row r="58" spans="1:6" ht="27" customHeight="1">
      <c r="A58" s="1123" t="s">
        <v>219</v>
      </c>
      <c r="B58" s="1124"/>
      <c r="C58" s="1124"/>
      <c r="D58" s="1124"/>
      <c r="E58" s="1124"/>
      <c r="F58" s="1124"/>
    </row>
    <row r="59" spans="1:6" ht="27" customHeight="1">
      <c r="A59" s="1123" t="s">
        <v>219</v>
      </c>
      <c r="B59" s="1124"/>
      <c r="C59" s="1124"/>
      <c r="D59" s="1124"/>
      <c r="E59" s="1124"/>
      <c r="F59" s="1124"/>
    </row>
    <row r="60" spans="1:6" ht="27" customHeight="1">
      <c r="A60" s="1123" t="s">
        <v>219</v>
      </c>
      <c r="B60" s="1124"/>
      <c r="C60" s="1124"/>
      <c r="D60" s="1124"/>
      <c r="E60" s="1124"/>
      <c r="F60" s="1124"/>
    </row>
    <row r="61" spans="1:6" ht="27" customHeight="1">
      <c r="A61" s="1123" t="s">
        <v>219</v>
      </c>
      <c r="B61" s="1124"/>
      <c r="C61" s="1124"/>
      <c r="D61" s="1124"/>
      <c r="E61" s="1124"/>
      <c r="F61" s="1124"/>
    </row>
    <row r="62" spans="1:6" ht="27" customHeight="1">
      <c r="A62" s="1123" t="s">
        <v>219</v>
      </c>
      <c r="B62" s="1124"/>
      <c r="C62" s="1124"/>
      <c r="D62" s="1124"/>
      <c r="E62" s="1124"/>
      <c r="F62" s="1124"/>
    </row>
    <row r="63" spans="1:6" ht="27" customHeight="1">
      <c r="A63" s="1123" t="s">
        <v>219</v>
      </c>
      <c r="B63" s="1124"/>
      <c r="C63" s="1124"/>
      <c r="D63" s="1124"/>
      <c r="E63" s="1124"/>
      <c r="F63" s="1124"/>
    </row>
  </sheetData>
  <mergeCells count="61">
    <mergeCell ref="A42:F42"/>
    <mergeCell ref="A38:B38"/>
    <mergeCell ref="A39:B39"/>
    <mergeCell ref="C39:F39"/>
    <mergeCell ref="A22:B22"/>
    <mergeCell ref="C22:F22"/>
    <mergeCell ref="C38:F38"/>
    <mergeCell ref="A35:D36"/>
    <mergeCell ref="C20:F20"/>
    <mergeCell ref="C37:F37"/>
    <mergeCell ref="A7:B7"/>
    <mergeCell ref="A9:B9"/>
    <mergeCell ref="A10:B11"/>
    <mergeCell ref="A18:B18"/>
    <mergeCell ref="C7:F7"/>
    <mergeCell ref="C9:F9"/>
    <mergeCell ref="C14:F14"/>
    <mergeCell ref="C12:F12"/>
    <mergeCell ref="C10:F10"/>
    <mergeCell ref="A14:B14"/>
    <mergeCell ref="C18:F18"/>
    <mergeCell ref="A37:B37"/>
    <mergeCell ref="C17:F17"/>
    <mergeCell ref="C16:F16"/>
    <mergeCell ref="A43:F43"/>
    <mergeCell ref="A44:F44"/>
    <mergeCell ref="A45:F45"/>
    <mergeCell ref="A55:F55"/>
    <mergeCell ref="A12:B13"/>
    <mergeCell ref="A16:A17"/>
    <mergeCell ref="A20:B20"/>
    <mergeCell ref="A46:F46"/>
    <mergeCell ref="A47:F47"/>
    <mergeCell ref="A50:F50"/>
    <mergeCell ref="A41:F41"/>
    <mergeCell ref="A21:B21"/>
    <mergeCell ref="C21:F21"/>
    <mergeCell ref="E36:F36"/>
    <mergeCell ref="C40:F40"/>
    <mergeCell ref="A40:B40"/>
    <mergeCell ref="A1:F1"/>
    <mergeCell ref="A3:B3"/>
    <mergeCell ref="A4:B4"/>
    <mergeCell ref="A6:B6"/>
    <mergeCell ref="C3:F3"/>
    <mergeCell ref="C4:F4"/>
    <mergeCell ref="C6:F6"/>
    <mergeCell ref="A63:F63"/>
    <mergeCell ref="A57:F57"/>
    <mergeCell ref="A58:F58"/>
    <mergeCell ref="A59:F59"/>
    <mergeCell ref="A60:F60"/>
    <mergeCell ref="A61:F61"/>
    <mergeCell ref="A62:F62"/>
    <mergeCell ref="A56:F56"/>
    <mergeCell ref="A49:F49"/>
    <mergeCell ref="A51:F51"/>
    <mergeCell ref="A52:F52"/>
    <mergeCell ref="A48:F48"/>
    <mergeCell ref="A53:F53"/>
    <mergeCell ref="A54:F54"/>
  </mergeCells>
  <phoneticPr fontId="3"/>
  <printOptions horizontalCentered="1" verticalCentered="1"/>
  <pageMargins left="0.78740157480314965" right="0.78740157480314965" top="0.78740157480314965" bottom="0.78740157480314965" header="0.51181102362204722" footer="0.51181102362204722"/>
  <pageSetup paperSize="9"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indexed="11"/>
  </sheetPr>
  <dimension ref="A1:J56"/>
  <sheetViews>
    <sheetView view="pageBreakPreview" topLeftCell="A4" zoomScaleNormal="100" zoomScaleSheetLayoutView="100" workbookViewId="0">
      <selection activeCell="E27" sqref="E27:F27"/>
    </sheetView>
  </sheetViews>
  <sheetFormatPr defaultRowHeight="13.5"/>
  <cols>
    <col min="1" max="1" width="24.125" style="1" customWidth="1"/>
    <col min="2" max="2" width="25" style="1" bestFit="1" customWidth="1"/>
    <col min="3" max="4" width="13.25" style="1" customWidth="1"/>
    <col min="5" max="6" width="12.875" style="1" customWidth="1"/>
    <col min="7" max="16384" width="9" style="1"/>
  </cols>
  <sheetData>
    <row r="1" spans="1:9" ht="13.5" customHeight="1">
      <c r="F1" s="1184" t="str">
        <f>IF(ISERROR(VLOOKUP($B$5,#REF!,2,0))=TRUE,"",(VLOOKUP($B$5,#REF!,2,0)))</f>
        <v/>
      </c>
    </row>
    <row r="2" spans="1:9" ht="30" customHeight="1">
      <c r="A2" s="46" t="s">
        <v>46</v>
      </c>
      <c r="B2" s="41"/>
      <c r="C2" s="41"/>
      <c r="D2" s="41"/>
      <c r="E2" s="41"/>
      <c r="F2" s="1184"/>
    </row>
    <row r="3" spans="1:9" ht="13.5" customHeight="1"/>
    <row r="4" spans="1:9" ht="30" customHeight="1" thickBot="1">
      <c r="A4" s="36" t="s">
        <v>182</v>
      </c>
      <c r="B4" s="12"/>
      <c r="C4" s="2"/>
      <c r="D4" s="13" t="s">
        <v>18</v>
      </c>
      <c r="E4" s="1187"/>
      <c r="F4" s="1188"/>
    </row>
    <row r="5" spans="1:9" s="9" customFormat="1" ht="27.75" customHeight="1" thickBot="1">
      <c r="A5" s="14" t="s">
        <v>19</v>
      </c>
      <c r="B5" s="47" t="e">
        <f>#REF!</f>
        <v>#REF!</v>
      </c>
      <c r="C5" s="45" t="s">
        <v>151</v>
      </c>
      <c r="D5" s="1174" t="s">
        <v>24</v>
      </c>
      <c r="E5" s="1175"/>
      <c r="F5" s="1176"/>
    </row>
    <row r="6" spans="1:9" s="9" customFormat="1" ht="27.75" customHeight="1" thickTop="1" thickBot="1">
      <c r="A6" s="15" t="s">
        <v>77</v>
      </c>
      <c r="B6" s="1191" t="e">
        <f>INDEX(#REF!, MATCH($E$6,#REF!,), MATCH("コース名",#REF!,))</f>
        <v>#REF!</v>
      </c>
      <c r="C6" s="1192" t="e">
        <f>INDEX(#REF!, MATCH(#REF!,#REF!,), MATCH("コース名",#REF!,))</f>
        <v>#REF!</v>
      </c>
      <c r="D6" s="51" t="s">
        <v>25</v>
      </c>
      <c r="E6" s="1172" t="e">
        <f>#REF!</f>
        <v>#REF!</v>
      </c>
      <c r="F6" s="1173"/>
    </row>
    <row r="7" spans="1:9" s="9" customFormat="1" ht="27.75" customHeight="1" thickTop="1">
      <c r="A7" s="16" t="s">
        <v>87</v>
      </c>
      <c r="B7" s="72" t="s">
        <v>82</v>
      </c>
      <c r="C7" s="1189"/>
      <c r="D7" s="1189"/>
      <c r="E7" s="1189"/>
      <c r="F7" s="59" t="s">
        <v>111</v>
      </c>
      <c r="G7" s="17"/>
      <c r="H7" s="17"/>
      <c r="I7" s="17"/>
    </row>
    <row r="8" spans="1:9" s="9" customFormat="1" ht="27.75" customHeight="1">
      <c r="A8" s="18" t="s">
        <v>116</v>
      </c>
      <c r="B8" s="1177" t="e">
        <f>INDEX(#REF!, MATCH($E$6,#REF!,), MATCH("研究代表者",#REF!,))</f>
        <v>#REF!</v>
      </c>
      <c r="C8" s="1178" t="e">
        <f>INDEX(#REF!, MATCH($B$18,#REF!,), MATCH("研究代表者",#REF!,))</f>
        <v>#REF!</v>
      </c>
      <c r="D8" s="42"/>
      <c r="E8" s="1179"/>
      <c r="F8" s="1180"/>
    </row>
    <row r="9" spans="1:9" s="9" customFormat="1" ht="27.75" customHeight="1">
      <c r="A9" s="18" t="s">
        <v>26</v>
      </c>
      <c r="B9" s="1181" t="e">
        <f>#REF!</f>
        <v>#REF!</v>
      </c>
      <c r="C9" s="1182"/>
      <c r="D9" s="1182"/>
      <c r="E9" s="1182"/>
      <c r="F9" s="1183"/>
    </row>
    <row r="10" spans="1:9" s="9" customFormat="1" ht="27.75" customHeight="1">
      <c r="A10" s="15" t="s">
        <v>157</v>
      </c>
      <c r="B10" s="1199" t="s">
        <v>131</v>
      </c>
      <c r="C10" s="1199"/>
      <c r="D10" s="1199"/>
      <c r="E10" s="1197"/>
      <c r="F10" s="1198"/>
    </row>
    <row r="11" spans="1:9" s="9" customFormat="1" ht="27.75" customHeight="1">
      <c r="A11" s="18" t="s">
        <v>144</v>
      </c>
      <c r="B11" s="1203" t="e">
        <f>INDEX(#REF!, MATCH($E$6,#REF!,), MATCH("予算詳細名",#REF!,))</f>
        <v>#REF!</v>
      </c>
      <c r="C11" s="1204"/>
      <c r="D11" s="43"/>
      <c r="E11" s="1201"/>
      <c r="F11" s="1202"/>
    </row>
    <row r="12" spans="1:9" s="9" customFormat="1" ht="27.75" customHeight="1">
      <c r="A12" s="15" t="s">
        <v>132</v>
      </c>
      <c r="B12" s="1190" t="s">
        <v>133</v>
      </c>
      <c r="C12" s="1190"/>
      <c r="D12" s="1190"/>
      <c r="E12" s="1190"/>
      <c r="F12" s="44"/>
    </row>
    <row r="13" spans="1:9" s="9" customFormat="1" ht="27.75" customHeight="1" thickBot="1">
      <c r="A13" s="15" t="s">
        <v>134</v>
      </c>
      <c r="B13" s="1200" t="s">
        <v>135</v>
      </c>
      <c r="C13" s="1200"/>
      <c r="D13" s="1200"/>
      <c r="E13" s="1200"/>
      <c r="F13" s="52"/>
    </row>
    <row r="14" spans="1:9" s="9" customFormat="1" ht="25.5" customHeight="1" thickTop="1" thickBot="1">
      <c r="A14" s="1193" t="s">
        <v>64</v>
      </c>
      <c r="B14" s="1194"/>
      <c r="C14" s="55" t="s">
        <v>136</v>
      </c>
      <c r="D14" s="1213"/>
      <c r="E14" s="1214"/>
      <c r="F14" s="1215"/>
    </row>
    <row r="15" spans="1:9" s="9" customFormat="1" ht="28.5" customHeight="1" thickTop="1">
      <c r="A15" s="37" t="s">
        <v>0</v>
      </c>
      <c r="B15" s="10" t="e">
        <f>#REF!</f>
        <v>#REF!</v>
      </c>
      <c r="C15" s="53" t="s">
        <v>10</v>
      </c>
      <c r="D15" s="71" t="e">
        <f>#REF!</f>
        <v>#REF!</v>
      </c>
      <c r="E15" s="54" t="s">
        <v>129</v>
      </c>
      <c r="F15" s="94" t="e">
        <f>B19</f>
        <v>#REF!</v>
      </c>
    </row>
    <row r="16" spans="1:9" s="9" customFormat="1" ht="28.5" customHeight="1">
      <c r="A16" s="38" t="s">
        <v>92</v>
      </c>
      <c r="B16" s="28" t="e">
        <f>#REF!</f>
        <v>#REF!</v>
      </c>
      <c r="C16" s="19"/>
      <c r="D16" s="20"/>
      <c r="E16" s="21"/>
      <c r="F16" s="22"/>
    </row>
    <row r="17" spans="1:10" s="9" customFormat="1" ht="28.5" customHeight="1">
      <c r="A17" s="1195" t="s">
        <v>91</v>
      </c>
      <c r="B17" s="33" t="e">
        <f>#REF!</f>
        <v>#REF!</v>
      </c>
      <c r="C17" s="70" t="s">
        <v>156</v>
      </c>
      <c r="D17" s="1218" t="s">
        <v>225</v>
      </c>
      <c r="E17" s="1218"/>
      <c r="F17" s="1219"/>
    </row>
    <row r="18" spans="1:10" s="9" customFormat="1" ht="28.5" customHeight="1">
      <c r="A18" s="1196"/>
      <c r="B18" s="29" t="e">
        <f>#REF!</f>
        <v>#REF!</v>
      </c>
      <c r="C18" s="1223" t="s">
        <v>58</v>
      </c>
      <c r="D18" s="1224"/>
      <c r="E18" s="1185" t="s">
        <v>81</v>
      </c>
      <c r="F18" s="1186"/>
    </row>
    <row r="19" spans="1:10" s="9" customFormat="1" ht="28.5" customHeight="1">
      <c r="A19" s="39" t="s">
        <v>20</v>
      </c>
      <c r="B19" s="30" t="e">
        <f>#REF!</f>
        <v>#REF!</v>
      </c>
      <c r="C19" s="1170" t="s">
        <v>5</v>
      </c>
      <c r="D19" s="1171"/>
      <c r="E19" s="1168" t="s">
        <v>125</v>
      </c>
      <c r="F19" s="1169"/>
      <c r="I19" s="374"/>
    </row>
    <row r="20" spans="1:10" s="9" customFormat="1" ht="28.5" customHeight="1">
      <c r="A20" s="39" t="s">
        <v>1</v>
      </c>
      <c r="B20" s="31" t="e">
        <f>#REF!</f>
        <v>#REF!</v>
      </c>
      <c r="C20" s="1170" t="s">
        <v>59</v>
      </c>
      <c r="D20" s="1171"/>
      <c r="E20" s="1225" t="e">
        <f>#REF!</f>
        <v>#REF!</v>
      </c>
      <c r="F20" s="1226"/>
      <c r="I20" s="1222"/>
      <c r="J20" s="1222"/>
    </row>
    <row r="21" spans="1:10" s="9" customFormat="1" ht="28.5" customHeight="1">
      <c r="A21" s="39" t="s">
        <v>2</v>
      </c>
      <c r="B21" s="32" t="e">
        <f>#REF!</f>
        <v>#REF!</v>
      </c>
      <c r="C21" s="1170" t="s">
        <v>120</v>
      </c>
      <c r="D21" s="1171"/>
      <c r="E21" s="1227"/>
      <c r="F21" s="1228"/>
    </row>
    <row r="22" spans="1:10" s="9" customFormat="1" ht="28.5" customHeight="1">
      <c r="A22" s="39" t="s">
        <v>65</v>
      </c>
      <c r="B22" s="48" t="e">
        <f>#REF!</f>
        <v>#REF!</v>
      </c>
      <c r="C22" s="1170" t="s">
        <v>61</v>
      </c>
      <c r="D22" s="1171"/>
      <c r="E22" s="1166" t="e">
        <f>E20*E21</f>
        <v>#REF!</v>
      </c>
      <c r="F22" s="1167">
        <v>0</v>
      </c>
      <c r="G22" s="1205" t="str">
        <f>IF(E18="有り（2ヶ月以内）","←日額丙欄税額作業シートで計算・確認","")</f>
        <v/>
      </c>
      <c r="H22" s="1206"/>
      <c r="I22" s="1206"/>
      <c r="J22" s="1206"/>
    </row>
    <row r="23" spans="1:10" s="9" customFormat="1" ht="28.5" customHeight="1" thickBot="1">
      <c r="A23" s="40" t="s">
        <v>60</v>
      </c>
      <c r="B23" s="246" t="e">
        <f>B55&amp;B56</f>
        <v>#REF!</v>
      </c>
      <c r="C23" s="1220" t="s">
        <v>62</v>
      </c>
      <c r="D23" s="1221"/>
      <c r="E23" s="1216" t="e">
        <f>IF(E18="有り（2ヶ月以内）"," ",(IF(E18="無し（2ヶ月以内）",0,(IF(B27&lt;88000,ROUNDDOWN(B27*3.063/100,),LOOKUP(B27,'月額表（平成27年1月以降分）'!$B$13:$B$347,'月額表（平成27年1月以降分）'!$L$13:$L$347))))))</f>
        <v>#REF!</v>
      </c>
      <c r="F23" s="1217"/>
      <c r="G23" s="371"/>
      <c r="H23" s="371"/>
      <c r="I23" s="218"/>
      <c r="J23" s="218"/>
    </row>
    <row r="24" spans="1:10" s="9" customFormat="1" ht="28.5" customHeight="1" thickBot="1">
      <c r="A24" s="245"/>
      <c r="B24" s="372"/>
      <c r="C24" s="1171" t="s">
        <v>4</v>
      </c>
      <c r="D24" s="1221"/>
      <c r="E24" s="1209">
        <f>IF(E19="有り",ROUNDDOWN((E22+E27)*5/1000,0),0)</f>
        <v>0</v>
      </c>
      <c r="F24" s="1210"/>
    </row>
    <row r="25" spans="1:10" s="9" customFormat="1" ht="28.5" customHeight="1" thickTop="1" thickBot="1">
      <c r="A25" s="244"/>
      <c r="B25" s="373"/>
      <c r="C25" s="243" t="s">
        <v>229</v>
      </c>
      <c r="D25" s="243"/>
      <c r="E25" s="1211"/>
      <c r="F25" s="1212"/>
    </row>
    <row r="26" spans="1:10" s="9" customFormat="1" ht="28.5" customHeight="1" thickTop="1">
      <c r="A26" s="3"/>
      <c r="C26" s="1230" t="s">
        <v>65</v>
      </c>
      <c r="D26" s="1231"/>
      <c r="E26" s="1235"/>
      <c r="F26" s="1236"/>
    </row>
    <row r="27" spans="1:10" s="9" customFormat="1" ht="28.5" customHeight="1">
      <c r="A27" s="3"/>
      <c r="B27" s="93" t="e">
        <f>E22-E24</f>
        <v>#REF!</v>
      </c>
      <c r="C27" s="247" t="s">
        <v>187</v>
      </c>
      <c r="D27" s="242"/>
      <c r="E27" s="1216">
        <f>E25*E26*2</f>
        <v>0</v>
      </c>
      <c r="F27" s="1217"/>
    </row>
    <row r="28" spans="1:10" s="9" customFormat="1" ht="28.5" customHeight="1" thickBot="1">
      <c r="A28" s="3"/>
      <c r="B28" s="370"/>
      <c r="C28" s="1232" t="s">
        <v>63</v>
      </c>
      <c r="D28" s="1233"/>
      <c r="E28" s="1207" t="e">
        <f>E22-E23-E24+E27</f>
        <v>#REF!</v>
      </c>
      <c r="F28" s="1208"/>
    </row>
    <row r="29" spans="1:10" s="9" customFormat="1">
      <c r="A29" s="3"/>
      <c r="B29" s="3"/>
      <c r="C29" s="50"/>
      <c r="D29" s="35"/>
      <c r="E29" s="3"/>
      <c r="F29" s="3"/>
    </row>
    <row r="30" spans="1:10" s="9" customFormat="1" ht="13.5" customHeight="1">
      <c r="A30" s="3"/>
      <c r="B30" s="87"/>
      <c r="C30" s="50" t="s">
        <v>183</v>
      </c>
      <c r="D30" s="376"/>
      <c r="E30" s="1238" t="s">
        <v>12</v>
      </c>
      <c r="F30" s="1238"/>
    </row>
    <row r="31" spans="1:10" customFormat="1" ht="13.5" customHeight="1">
      <c r="A31" s="3"/>
      <c r="B31" s="1237" t="s">
        <v>3</v>
      </c>
      <c r="C31" s="1237"/>
      <c r="D31" s="1237"/>
      <c r="E31" s="1237"/>
      <c r="F31" s="1237"/>
    </row>
    <row r="32" spans="1:10" customFormat="1" ht="18.75" customHeight="1">
      <c r="A32" s="1"/>
      <c r="B32" s="1"/>
      <c r="C32" s="1229" t="s">
        <v>137</v>
      </c>
      <c r="D32" s="1229"/>
      <c r="E32" s="1"/>
      <c r="F32" s="1"/>
    </row>
    <row r="33" spans="1:6" customFormat="1" ht="14.25" customHeight="1">
      <c r="A33" s="11"/>
      <c r="B33" s="1"/>
      <c r="C33" s="88"/>
      <c r="D33" s="88"/>
      <c r="E33" s="88"/>
      <c r="F33" s="89"/>
    </row>
    <row r="34" spans="1:6" customFormat="1" ht="15.75" customHeight="1">
      <c r="A34" s="1"/>
      <c r="B34" s="1"/>
      <c r="C34" s="56"/>
      <c r="D34" s="60" t="s">
        <v>138</v>
      </c>
      <c r="E34" s="34"/>
      <c r="F34" s="64"/>
    </row>
    <row r="35" spans="1:6" s="9" customFormat="1" ht="23.25" customHeight="1">
      <c r="A35" s="3"/>
      <c r="B35" s="3"/>
      <c r="C35" s="61" t="s">
        <v>161</v>
      </c>
      <c r="D35" s="56" t="s">
        <v>160</v>
      </c>
      <c r="E35" s="61" t="s">
        <v>139</v>
      </c>
      <c r="F35" s="65"/>
    </row>
    <row r="36" spans="1:6" s="9" customFormat="1" ht="23.25" customHeight="1">
      <c r="A36" s="23"/>
      <c r="B36" s="23"/>
      <c r="C36" s="62"/>
      <c r="D36" s="66"/>
      <c r="E36" s="68"/>
      <c r="F36" s="65"/>
    </row>
    <row r="37" spans="1:6" s="9" customFormat="1" ht="23.25" customHeight="1">
      <c r="A37" s="23"/>
      <c r="B37" s="23"/>
      <c r="C37" s="63"/>
      <c r="D37" s="67"/>
      <c r="E37" s="69"/>
    </row>
    <row r="38" spans="1:6" s="9" customFormat="1">
      <c r="A38" s="23"/>
      <c r="B38" s="23"/>
      <c r="C38" s="24"/>
      <c r="E38" s="49" t="s">
        <v>86</v>
      </c>
    </row>
    <row r="39" spans="1:6" s="9" customFormat="1">
      <c r="A39" s="23"/>
      <c r="B39" s="23"/>
      <c r="C39" s="24"/>
      <c r="E39" s="49" t="s">
        <v>7</v>
      </c>
    </row>
    <row r="40" spans="1:6">
      <c r="C40" s="25"/>
      <c r="E40" s="49" t="s">
        <v>118</v>
      </c>
    </row>
    <row r="42" spans="1:6" s="9" customFormat="1" ht="13.5" customHeight="1">
      <c r="A42" s="1234" t="s">
        <v>117</v>
      </c>
      <c r="B42" s="1234"/>
    </row>
    <row r="43" spans="1:6" s="9" customFormat="1">
      <c r="A43" s="4" t="s">
        <v>17</v>
      </c>
      <c r="B43" s="4" t="s">
        <v>16</v>
      </c>
      <c r="D43" s="27" t="s">
        <v>115</v>
      </c>
      <c r="F43" s="27" t="s">
        <v>85</v>
      </c>
    </row>
    <row r="44" spans="1:6" s="9" customFormat="1">
      <c r="A44" s="5" t="s">
        <v>140</v>
      </c>
      <c r="B44" s="6">
        <v>3000</v>
      </c>
      <c r="D44" s="1" t="s">
        <v>107</v>
      </c>
      <c r="F44" s="6" t="s">
        <v>81</v>
      </c>
    </row>
    <row r="45" spans="1:6" s="9" customFormat="1">
      <c r="A45" s="5" t="s">
        <v>88</v>
      </c>
      <c r="B45" s="6">
        <v>9999999999</v>
      </c>
      <c r="D45" s="1" t="s">
        <v>108</v>
      </c>
      <c r="F45" s="6" t="s">
        <v>154</v>
      </c>
    </row>
    <row r="46" spans="1:6" s="9" customFormat="1">
      <c r="A46" s="7" t="s">
        <v>141</v>
      </c>
      <c r="B46" s="6">
        <v>9999999999</v>
      </c>
      <c r="D46" s="1" t="s">
        <v>109</v>
      </c>
      <c r="F46" s="6" t="s">
        <v>155</v>
      </c>
    </row>
    <row r="47" spans="1:6" s="9" customFormat="1">
      <c r="A47" s="7" t="s">
        <v>142</v>
      </c>
      <c r="B47" s="6">
        <v>9999999999</v>
      </c>
      <c r="D47" s="1" t="s">
        <v>114</v>
      </c>
      <c r="F47" s="6" t="s">
        <v>130</v>
      </c>
    </row>
    <row r="48" spans="1:6" s="9" customFormat="1">
      <c r="A48" s="7" t="s">
        <v>143</v>
      </c>
      <c r="B48" s="6">
        <v>9999999999</v>
      </c>
      <c r="D48" s="1" t="s">
        <v>113</v>
      </c>
      <c r="E48" s="57"/>
    </row>
    <row r="49" spans="1:6" s="9" customFormat="1">
      <c r="A49" s="7" t="s">
        <v>13</v>
      </c>
      <c r="B49" s="6">
        <v>9999999999</v>
      </c>
      <c r="D49" s="1" t="s">
        <v>112</v>
      </c>
      <c r="E49" s="26"/>
      <c r="F49" s="90" t="s">
        <v>6</v>
      </c>
    </row>
    <row r="50" spans="1:6" s="9" customFormat="1">
      <c r="A50" s="8" t="s">
        <v>14</v>
      </c>
      <c r="B50" s="6">
        <v>9999999999</v>
      </c>
      <c r="D50" s="1" t="s">
        <v>110</v>
      </c>
      <c r="E50" s="26"/>
      <c r="F50" s="6" t="s">
        <v>125</v>
      </c>
    </row>
    <row r="51" spans="1:6" s="9" customFormat="1">
      <c r="A51" s="7" t="s">
        <v>15</v>
      </c>
      <c r="B51" s="6">
        <v>9999999999</v>
      </c>
      <c r="D51" s="6" t="s">
        <v>82</v>
      </c>
      <c r="E51" s="26"/>
      <c r="F51" s="9" t="s">
        <v>126</v>
      </c>
    </row>
    <row r="52" spans="1:6" s="9" customFormat="1">
      <c r="A52" s="7" t="s">
        <v>83</v>
      </c>
      <c r="B52" s="6">
        <v>9999999999</v>
      </c>
      <c r="F52" s="9" t="s">
        <v>127</v>
      </c>
    </row>
    <row r="55" spans="1:6">
      <c r="A55" s="58" t="e">
        <f>#REF!</f>
        <v>#REF!</v>
      </c>
      <c r="B55" s="1" t="e">
        <f>A55</f>
        <v>#REF!</v>
      </c>
    </row>
    <row r="56" spans="1:6">
      <c r="A56" s="134" t="e">
        <f>#REF!</f>
        <v>#REF!</v>
      </c>
      <c r="B56" s="1" t="e">
        <f>A56</f>
        <v>#REF!</v>
      </c>
    </row>
  </sheetData>
  <protectedRanges>
    <protectedRange sqref="D30" name="範囲7"/>
    <protectedRange sqref="E19:F19" name="範囲5"/>
    <protectedRange sqref="D17:F17" name="範囲3"/>
    <protectedRange sqref="B7" name="範囲1"/>
    <protectedRange sqref="D14:F14" name="範囲2"/>
    <protectedRange sqref="E18:F18" name="範囲4"/>
    <protectedRange sqref="E21:F21" name="範囲6"/>
  </protectedRanges>
  <mergeCells count="45">
    <mergeCell ref="C32:D32"/>
    <mergeCell ref="E27:F27"/>
    <mergeCell ref="C26:D26"/>
    <mergeCell ref="C28:D28"/>
    <mergeCell ref="A42:B42"/>
    <mergeCell ref="E26:F26"/>
    <mergeCell ref="B31:F31"/>
    <mergeCell ref="E30:F30"/>
    <mergeCell ref="G22:J22"/>
    <mergeCell ref="E28:F28"/>
    <mergeCell ref="E24:F24"/>
    <mergeCell ref="E25:F25"/>
    <mergeCell ref="D14:F14"/>
    <mergeCell ref="E23:F23"/>
    <mergeCell ref="D17:F17"/>
    <mergeCell ref="C23:D23"/>
    <mergeCell ref="I20:J20"/>
    <mergeCell ref="C18:D18"/>
    <mergeCell ref="C24:D24"/>
    <mergeCell ref="E20:F20"/>
    <mergeCell ref="C22:D22"/>
    <mergeCell ref="E21:F21"/>
    <mergeCell ref="C19:D19"/>
    <mergeCell ref="C20:D20"/>
    <mergeCell ref="F1:F2"/>
    <mergeCell ref="E18:F18"/>
    <mergeCell ref="E4:F4"/>
    <mergeCell ref="C7:E7"/>
    <mergeCell ref="B12:E12"/>
    <mergeCell ref="B6:C6"/>
    <mergeCell ref="A14:B14"/>
    <mergeCell ref="A17:A18"/>
    <mergeCell ref="E10:F10"/>
    <mergeCell ref="B10:D10"/>
    <mergeCell ref="B13:E13"/>
    <mergeCell ref="E11:F11"/>
    <mergeCell ref="B11:C11"/>
    <mergeCell ref="E22:F22"/>
    <mergeCell ref="E19:F19"/>
    <mergeCell ref="C21:D21"/>
    <mergeCell ref="E6:F6"/>
    <mergeCell ref="D5:F5"/>
    <mergeCell ref="B8:C8"/>
    <mergeCell ref="E8:F8"/>
    <mergeCell ref="B9:F9"/>
  </mergeCells>
  <phoneticPr fontId="3"/>
  <dataValidations count="3">
    <dataValidation type="list" allowBlank="1" showInputMessage="1" showErrorMessage="1" sqref="E18:F18">
      <formula1>$F$44:$F$47</formula1>
    </dataValidation>
    <dataValidation type="list" allowBlank="1" showInputMessage="1" showErrorMessage="1" sqref="B7">
      <formula1>$D$44:$D$51</formula1>
    </dataValidation>
    <dataValidation type="list" allowBlank="1" showInputMessage="1" showErrorMessage="1" sqref="E19:F19">
      <formula1>$F$50:$F$52</formula1>
    </dataValidation>
  </dataValidations>
  <printOptions horizontalCentered="1"/>
  <pageMargins left="0.59055118110236227" right="0" top="0.59055118110236227" bottom="0" header="0.51181102362204722" footer="0"/>
  <pageSetup paperSize="9" scale="89" orientation="portrait" r:id="rId1"/>
  <headerFooter alignWithMargins="0"/>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3"/>
  <sheetViews>
    <sheetView view="pageBreakPreview" zoomScaleNormal="100" zoomScaleSheetLayoutView="100" workbookViewId="0">
      <selection activeCell="I14" sqref="I14"/>
    </sheetView>
  </sheetViews>
  <sheetFormatPr defaultRowHeight="27" customHeight="1"/>
  <cols>
    <col min="1" max="2" width="20.625" customWidth="1"/>
    <col min="3" max="6" width="11.125" customWidth="1"/>
    <col min="7" max="7" width="20.625" customWidth="1"/>
    <col min="8" max="8" width="14.875" customWidth="1"/>
    <col min="9" max="9" width="21" customWidth="1"/>
  </cols>
  <sheetData>
    <row r="1" spans="1:6" ht="27" customHeight="1">
      <c r="A1" s="1125" t="s">
        <v>68</v>
      </c>
      <c r="B1" s="1125"/>
      <c r="C1" s="1125"/>
      <c r="D1" s="1125"/>
      <c r="E1" s="1125"/>
      <c r="F1" s="1125"/>
    </row>
    <row r="2" spans="1:6" ht="27" customHeight="1">
      <c r="A2" s="73"/>
      <c r="B2" s="73"/>
      <c r="C2" s="73"/>
      <c r="D2" s="73"/>
      <c r="E2" s="73"/>
      <c r="F2" s="73"/>
    </row>
    <row r="3" spans="1:6" ht="24" customHeight="1">
      <c r="A3" s="1126" t="s">
        <v>69</v>
      </c>
      <c r="B3" s="1127"/>
      <c r="C3" s="1130" t="e">
        <f>'事務室処理用　科研費支払'!B6</f>
        <v>#REF!</v>
      </c>
      <c r="D3" s="1131"/>
      <c r="E3" s="1131"/>
      <c r="F3" s="1132"/>
    </row>
    <row r="4" spans="1:6" ht="24" customHeight="1">
      <c r="A4" s="1126" t="s">
        <v>70</v>
      </c>
      <c r="B4" s="1127"/>
      <c r="C4" s="1130" t="e">
        <f>#REF!</f>
        <v>#REF!</v>
      </c>
      <c r="D4" s="1131"/>
      <c r="E4" s="1131"/>
      <c r="F4" s="1132"/>
    </row>
    <row r="5" spans="1:6" ht="24" customHeight="1">
      <c r="A5" s="74"/>
      <c r="B5" s="75"/>
      <c r="C5" s="248"/>
      <c r="D5" s="248"/>
      <c r="E5" s="248"/>
      <c r="F5" s="76"/>
    </row>
    <row r="6" spans="1:6" ht="24" customHeight="1">
      <c r="A6" s="1128" t="s">
        <v>76</v>
      </c>
      <c r="B6" s="1129"/>
      <c r="C6" s="1133" t="e">
        <f>'事務室処理用　科研費支払'!B17</f>
        <v>#REF!</v>
      </c>
      <c r="D6" s="1134"/>
      <c r="E6" s="1134"/>
      <c r="F6" s="1135"/>
    </row>
    <row r="7" spans="1:6" ht="24" customHeight="1">
      <c r="A7" s="1138" t="s">
        <v>145</v>
      </c>
      <c r="B7" s="1139"/>
      <c r="C7" s="1149" t="e">
        <f>'事務室処理用　科研費支払'!B18</f>
        <v>#REF!</v>
      </c>
      <c r="D7" s="1150"/>
      <c r="E7" s="1150"/>
      <c r="F7" s="1151"/>
    </row>
    <row r="8" spans="1:6" ht="24" customHeight="1">
      <c r="A8" s="77"/>
      <c r="B8" s="78"/>
      <c r="C8" s="248"/>
      <c r="D8" s="248"/>
      <c r="E8" s="248"/>
      <c r="F8" s="79"/>
    </row>
    <row r="9" spans="1:6" ht="24" customHeight="1">
      <c r="A9" s="1126" t="s">
        <v>71</v>
      </c>
      <c r="B9" s="1127"/>
      <c r="C9" s="1152" t="str">
        <f>'事務室処理用　科研費支払'!D17</f>
        <v>平成　２６　年　　　月分</v>
      </c>
      <c r="D9" s="1153"/>
      <c r="E9" s="1153"/>
      <c r="F9" s="1154"/>
    </row>
    <row r="10" spans="1:6" ht="24" customHeight="1">
      <c r="A10" s="1136" t="s">
        <v>213</v>
      </c>
      <c r="B10" s="1137"/>
      <c r="C10" s="1158" t="e">
        <f>'事務室処理用　科研費支払'!E22</f>
        <v>#REF!</v>
      </c>
      <c r="D10" s="1159"/>
      <c r="E10" s="1159"/>
      <c r="F10" s="1160"/>
    </row>
    <row r="11" spans="1:6" ht="24" customHeight="1">
      <c r="A11" s="1138"/>
      <c r="B11" s="1139"/>
      <c r="C11" s="390" t="s">
        <v>72</v>
      </c>
      <c r="D11" s="250" t="e">
        <f>'事務室処理用　科研費支払'!E20</f>
        <v>#REF!</v>
      </c>
      <c r="E11" s="390" t="s">
        <v>120</v>
      </c>
      <c r="F11" s="249">
        <f>'事務室処理用　科研費支払'!E21</f>
        <v>0</v>
      </c>
    </row>
    <row r="12" spans="1:6" ht="24" customHeight="1">
      <c r="A12" s="1136" t="s">
        <v>187</v>
      </c>
      <c r="B12" s="1137"/>
      <c r="C12" s="1144">
        <f>'事務室処理用　科研費支払'!E27</f>
        <v>0</v>
      </c>
      <c r="D12" s="1145"/>
      <c r="E12" s="1145"/>
      <c r="F12" s="1146"/>
    </row>
    <row r="13" spans="1:6" ht="24" customHeight="1">
      <c r="A13" s="1138"/>
      <c r="B13" s="1139"/>
      <c r="C13" s="396" t="s">
        <v>226</v>
      </c>
      <c r="D13" s="250">
        <f>'事務室処理用　科研費支払'!E25</f>
        <v>0</v>
      </c>
      <c r="E13" s="390" t="s">
        <v>65</v>
      </c>
      <c r="F13" s="251">
        <f>'事務室処理用　科研費支払'!E26</f>
        <v>0</v>
      </c>
    </row>
    <row r="14" spans="1:6" ht="24" customHeight="1">
      <c r="A14" s="1126" t="s">
        <v>217</v>
      </c>
      <c r="B14" s="1127"/>
      <c r="C14" s="1144" t="e">
        <f>C10+C12</f>
        <v>#REF!</v>
      </c>
      <c r="D14" s="1145"/>
      <c r="E14" s="1145"/>
      <c r="F14" s="1146"/>
    </row>
    <row r="15" spans="1:6" ht="24" customHeight="1">
      <c r="A15" s="391"/>
      <c r="B15" s="391"/>
      <c r="C15" s="392"/>
      <c r="D15" s="393"/>
      <c r="E15" s="394"/>
      <c r="F15" s="395"/>
    </row>
    <row r="16" spans="1:6" ht="24" customHeight="1">
      <c r="A16" s="1140" t="s">
        <v>73</v>
      </c>
      <c r="B16" s="389" t="s">
        <v>223</v>
      </c>
      <c r="C16" s="1144">
        <f>'事務室処理用　科研費支払'!E24</f>
        <v>0</v>
      </c>
      <c r="D16" s="1145"/>
      <c r="E16" s="1145"/>
      <c r="F16" s="1146"/>
    </row>
    <row r="17" spans="1:6" ht="24" customHeight="1">
      <c r="A17" s="1141"/>
      <c r="B17" s="389" t="s">
        <v>224</v>
      </c>
      <c r="C17" s="1144" t="e">
        <f>'事務室処理用　科研費支払'!E23</f>
        <v>#REF!</v>
      </c>
      <c r="D17" s="1145"/>
      <c r="E17" s="1145"/>
      <c r="F17" s="1146"/>
    </row>
    <row r="18" spans="1:6" ht="24" customHeight="1">
      <c r="A18" s="1126" t="s">
        <v>218</v>
      </c>
      <c r="B18" s="1127"/>
      <c r="C18" s="1144" t="e">
        <f>'事務室処理用　科研費支払'!E28</f>
        <v>#REF!</v>
      </c>
      <c r="D18" s="1145"/>
      <c r="E18" s="1145"/>
      <c r="F18" s="1146"/>
    </row>
    <row r="19" spans="1:6" ht="24" customHeight="1">
      <c r="A19" s="1239"/>
      <c r="B19" s="1239"/>
      <c r="C19" s="1239"/>
      <c r="D19" s="1239"/>
      <c r="E19" s="1239"/>
      <c r="F19" s="1239"/>
    </row>
    <row r="20" spans="1:6" ht="24" customHeight="1">
      <c r="A20" s="1126" t="s">
        <v>74</v>
      </c>
      <c r="B20" s="1127"/>
      <c r="C20" s="1144" t="e">
        <f>'事務室処理用　科研費支払'!E28</f>
        <v>#REF!</v>
      </c>
      <c r="D20" s="1145"/>
      <c r="E20" s="1145"/>
      <c r="F20" s="1146"/>
    </row>
    <row r="21" spans="1:6" ht="24" customHeight="1">
      <c r="A21" s="1126" t="s">
        <v>215</v>
      </c>
      <c r="B21" s="1127"/>
      <c r="C21" s="1144" t="e">
        <f>C20</f>
        <v>#REF!</v>
      </c>
      <c r="D21" s="1145"/>
      <c r="E21" s="1145"/>
      <c r="F21" s="1146"/>
    </row>
    <row r="22" spans="1:6" ht="24" customHeight="1">
      <c r="A22" s="1126" t="s">
        <v>75</v>
      </c>
      <c r="B22" s="1127"/>
      <c r="C22" s="1161">
        <f>'事務室処理用　科研費支払'!D14</f>
        <v>0</v>
      </c>
      <c r="D22" s="1162"/>
      <c r="E22" s="1162"/>
      <c r="F22" s="1163"/>
    </row>
    <row r="23" spans="1:6" ht="24" customHeight="1"/>
    <row r="24" spans="1:6" ht="24" customHeight="1">
      <c r="A24" s="381" t="s">
        <v>216</v>
      </c>
    </row>
    <row r="25" spans="1:6" ht="24" customHeight="1">
      <c r="B25" s="80"/>
      <c r="C25" s="80"/>
      <c r="D25" s="80"/>
      <c r="E25" s="80"/>
    </row>
    <row r="26" spans="1:6" ht="24" customHeight="1">
      <c r="B26" s="81"/>
      <c r="C26" s="81"/>
      <c r="D26" s="81"/>
      <c r="E26" s="81"/>
    </row>
    <row r="27" spans="1:6" ht="24" customHeight="1">
      <c r="B27" s="82"/>
      <c r="C27" s="82"/>
      <c r="D27" s="82"/>
      <c r="E27" s="82"/>
    </row>
    <row r="28" spans="1:6" ht="24" customHeight="1">
      <c r="C28" s="382" t="s">
        <v>220</v>
      </c>
      <c r="D28" s="82"/>
      <c r="E28" s="82"/>
    </row>
    <row r="29" spans="1:6" ht="24" customHeight="1">
      <c r="C29" s="383" t="s">
        <v>214</v>
      </c>
      <c r="D29" s="82"/>
      <c r="E29" s="82"/>
    </row>
    <row r="30" spans="1:6" ht="24" customHeight="1">
      <c r="B30" s="83"/>
      <c r="C30" s="383" t="s">
        <v>221</v>
      </c>
      <c r="D30" s="83"/>
      <c r="E30" s="83"/>
    </row>
    <row r="31" spans="1:6" ht="18" customHeight="1">
      <c r="B31" s="83"/>
      <c r="C31" s="383"/>
      <c r="D31" s="83"/>
      <c r="E31" s="83"/>
    </row>
    <row r="32" spans="1:6" ht="18" customHeight="1">
      <c r="B32" s="83"/>
      <c r="C32" s="383"/>
      <c r="D32" s="83"/>
      <c r="E32" s="83"/>
    </row>
    <row r="33" spans="1:6" ht="18" customHeight="1">
      <c r="F33" s="385" t="s">
        <v>121</v>
      </c>
    </row>
    <row r="34" spans="1:6" ht="18" customHeight="1">
      <c r="F34" s="386" t="e">
        <f>'事務室処理用　科研費支払'!E6</f>
        <v>#REF!</v>
      </c>
    </row>
    <row r="35" spans="1:6" ht="21.75" customHeight="1">
      <c r="A35" s="1164" t="s">
        <v>68</v>
      </c>
      <c r="B35" s="1164"/>
      <c r="C35" s="1164"/>
      <c r="D35" s="1164"/>
      <c r="E35" s="387" t="s">
        <v>163</v>
      </c>
      <c r="F35" s="388">
        <f>C22</f>
        <v>0</v>
      </c>
    </row>
    <row r="36" spans="1:6" ht="27" customHeight="1">
      <c r="A36" s="1165"/>
      <c r="B36" s="1165"/>
      <c r="C36" s="1165"/>
      <c r="D36" s="1165"/>
      <c r="E36" s="1147" t="str">
        <f>C9</f>
        <v>平成　２６　年　　　月分</v>
      </c>
      <c r="F36" s="1148"/>
    </row>
    <row r="37" spans="1:6" ht="27" customHeight="1">
      <c r="A37" s="1242" t="s">
        <v>69</v>
      </c>
      <c r="B37" s="1242"/>
      <c r="C37" s="1245" t="e">
        <f>C3</f>
        <v>#REF!</v>
      </c>
      <c r="D37" s="1245"/>
      <c r="E37" s="1245"/>
      <c r="F37" s="1245"/>
    </row>
    <row r="38" spans="1:6" ht="27" customHeight="1">
      <c r="A38" s="1242" t="s">
        <v>70</v>
      </c>
      <c r="B38" s="1242"/>
      <c r="C38" s="1245" t="e">
        <f>C4</f>
        <v>#REF!</v>
      </c>
      <c r="D38" s="1245"/>
      <c r="E38" s="1245"/>
      <c r="F38" s="1245"/>
    </row>
    <row r="39" spans="1:6" ht="27" customHeight="1">
      <c r="A39" s="1128" t="s">
        <v>76</v>
      </c>
      <c r="B39" s="1129"/>
      <c r="C39" s="1133" t="e">
        <f>C6</f>
        <v>#REF!</v>
      </c>
      <c r="D39" s="1134"/>
      <c r="E39" s="1134"/>
      <c r="F39" s="1135"/>
    </row>
    <row r="40" spans="1:6" ht="27" customHeight="1">
      <c r="A40" s="1138" t="s">
        <v>145</v>
      </c>
      <c r="B40" s="1139"/>
      <c r="C40" s="1149" t="e">
        <f>C7</f>
        <v>#REF!</v>
      </c>
      <c r="D40" s="1150"/>
      <c r="E40" s="1150"/>
      <c r="F40" s="1151"/>
    </row>
    <row r="41" spans="1:6" ht="27" customHeight="1">
      <c r="A41" s="1243" t="s">
        <v>219</v>
      </c>
      <c r="B41" s="1244"/>
      <c r="C41" s="1244"/>
      <c r="D41" s="1244"/>
      <c r="E41" s="1244"/>
      <c r="F41" s="1244"/>
    </row>
    <row r="42" spans="1:6" ht="27" customHeight="1">
      <c r="A42" s="1240" t="s">
        <v>219</v>
      </c>
      <c r="B42" s="1241"/>
      <c r="C42" s="1241"/>
      <c r="D42" s="1241"/>
      <c r="E42" s="1241"/>
      <c r="F42" s="1241"/>
    </row>
    <row r="43" spans="1:6" ht="27" customHeight="1">
      <c r="A43" s="1240" t="s">
        <v>219</v>
      </c>
      <c r="B43" s="1241"/>
      <c r="C43" s="1241"/>
      <c r="D43" s="1241"/>
      <c r="E43" s="1241"/>
      <c r="F43" s="1241"/>
    </row>
    <row r="44" spans="1:6" ht="27" customHeight="1">
      <c r="A44" s="1240" t="s">
        <v>227</v>
      </c>
      <c r="B44" s="1241"/>
      <c r="C44" s="1241"/>
      <c r="D44" s="1241"/>
      <c r="E44" s="1241"/>
      <c r="F44" s="1241"/>
    </row>
    <row r="45" spans="1:6" ht="27" customHeight="1">
      <c r="A45" s="1240" t="s">
        <v>219</v>
      </c>
      <c r="B45" s="1241"/>
      <c r="C45" s="1241"/>
      <c r="D45" s="1241"/>
      <c r="E45" s="1241"/>
      <c r="F45" s="1241"/>
    </row>
    <row r="46" spans="1:6" ht="27" customHeight="1">
      <c r="A46" s="1240" t="s">
        <v>219</v>
      </c>
      <c r="B46" s="1241"/>
      <c r="C46" s="1241"/>
      <c r="D46" s="1241"/>
      <c r="E46" s="1241"/>
      <c r="F46" s="1241"/>
    </row>
    <row r="47" spans="1:6" ht="27" customHeight="1">
      <c r="A47" s="1240" t="s">
        <v>219</v>
      </c>
      <c r="B47" s="1241"/>
      <c r="C47" s="1241"/>
      <c r="D47" s="1241"/>
      <c r="E47" s="1241"/>
      <c r="F47" s="1241"/>
    </row>
    <row r="48" spans="1:6" ht="27" customHeight="1">
      <c r="A48" s="1240" t="s">
        <v>219</v>
      </c>
      <c r="B48" s="1241"/>
      <c r="C48" s="1241"/>
      <c r="D48" s="1241"/>
      <c r="E48" s="1241"/>
      <c r="F48" s="1241"/>
    </row>
    <row r="49" spans="1:6" ht="27" customHeight="1">
      <c r="A49" s="1240" t="s">
        <v>219</v>
      </c>
      <c r="B49" s="1241"/>
      <c r="C49" s="1241"/>
      <c r="D49" s="1241"/>
      <c r="E49" s="1241"/>
      <c r="F49" s="1241"/>
    </row>
    <row r="50" spans="1:6" ht="27" customHeight="1">
      <c r="A50" s="1240" t="s">
        <v>219</v>
      </c>
      <c r="B50" s="1241"/>
      <c r="C50" s="1241"/>
      <c r="D50" s="1241"/>
      <c r="E50" s="1241"/>
      <c r="F50" s="1241"/>
    </row>
    <row r="51" spans="1:6" ht="27" customHeight="1">
      <c r="A51" s="1240" t="s">
        <v>219</v>
      </c>
      <c r="B51" s="1241"/>
      <c r="C51" s="1241"/>
      <c r="D51" s="1241"/>
      <c r="E51" s="1241"/>
      <c r="F51" s="1241"/>
    </row>
    <row r="52" spans="1:6" ht="27" customHeight="1">
      <c r="A52" s="1240" t="s">
        <v>219</v>
      </c>
      <c r="B52" s="1241"/>
      <c r="C52" s="1241"/>
      <c r="D52" s="1241"/>
      <c r="E52" s="1241"/>
      <c r="F52" s="1241"/>
    </row>
    <row r="53" spans="1:6" ht="27" customHeight="1">
      <c r="A53" s="1240" t="s">
        <v>219</v>
      </c>
      <c r="B53" s="1241"/>
      <c r="C53" s="1241"/>
      <c r="D53" s="1241"/>
      <c r="E53" s="1241"/>
      <c r="F53" s="1241"/>
    </row>
    <row r="54" spans="1:6" ht="27" customHeight="1">
      <c r="A54" s="1240" t="s">
        <v>219</v>
      </c>
      <c r="B54" s="1241"/>
      <c r="C54" s="1241"/>
      <c r="D54" s="1241"/>
      <c r="E54" s="1241"/>
      <c r="F54" s="1241"/>
    </row>
    <row r="55" spans="1:6" ht="27" customHeight="1">
      <c r="A55" s="1240" t="s">
        <v>219</v>
      </c>
      <c r="B55" s="1241"/>
      <c r="C55" s="1241"/>
      <c r="D55" s="1241"/>
      <c r="E55" s="1241"/>
      <c r="F55" s="1241"/>
    </row>
    <row r="56" spans="1:6" ht="27" customHeight="1">
      <c r="A56" s="1240" t="s">
        <v>219</v>
      </c>
      <c r="B56" s="1241"/>
      <c r="C56" s="1241"/>
      <c r="D56" s="1241"/>
      <c r="E56" s="1241"/>
      <c r="F56" s="1241"/>
    </row>
    <row r="57" spans="1:6" ht="27" customHeight="1">
      <c r="A57" s="1240" t="s">
        <v>219</v>
      </c>
      <c r="B57" s="1241"/>
      <c r="C57" s="1241"/>
      <c r="D57" s="1241"/>
      <c r="E57" s="1241"/>
      <c r="F57" s="1241"/>
    </row>
    <row r="58" spans="1:6" ht="27" customHeight="1">
      <c r="A58" s="1240" t="s">
        <v>219</v>
      </c>
      <c r="B58" s="1241"/>
      <c r="C58" s="1241"/>
      <c r="D58" s="1241"/>
      <c r="E58" s="1241"/>
      <c r="F58" s="1241"/>
    </row>
    <row r="59" spans="1:6" ht="27" customHeight="1">
      <c r="A59" s="1240" t="s">
        <v>219</v>
      </c>
      <c r="B59" s="1241"/>
      <c r="C59" s="1241"/>
      <c r="D59" s="1241"/>
      <c r="E59" s="1241"/>
      <c r="F59" s="1241"/>
    </row>
    <row r="60" spans="1:6" ht="27" customHeight="1">
      <c r="A60" s="1240" t="s">
        <v>219</v>
      </c>
      <c r="B60" s="1241"/>
      <c r="C60" s="1241"/>
      <c r="D60" s="1241"/>
      <c r="E60" s="1241"/>
      <c r="F60" s="1241"/>
    </row>
    <row r="61" spans="1:6" ht="27" customHeight="1">
      <c r="A61" s="1240" t="s">
        <v>219</v>
      </c>
      <c r="B61" s="1241"/>
      <c r="C61" s="1241"/>
      <c r="D61" s="1241"/>
      <c r="E61" s="1241"/>
      <c r="F61" s="1241"/>
    </row>
    <row r="62" spans="1:6" ht="27" customHeight="1">
      <c r="A62" s="1240" t="s">
        <v>219</v>
      </c>
      <c r="B62" s="1241"/>
      <c r="C62" s="1241"/>
      <c r="D62" s="1241"/>
      <c r="E62" s="1241"/>
      <c r="F62" s="1241"/>
    </row>
    <row r="63" spans="1:6" ht="27" customHeight="1">
      <c r="A63" s="1240" t="s">
        <v>219</v>
      </c>
      <c r="B63" s="1241"/>
      <c r="C63" s="1241"/>
      <c r="D63" s="1241"/>
      <c r="E63" s="1241"/>
      <c r="F63" s="1241"/>
    </row>
  </sheetData>
  <mergeCells count="62">
    <mergeCell ref="A47:F47"/>
    <mergeCell ref="A43:F43"/>
    <mergeCell ref="C39:F39"/>
    <mergeCell ref="C37:F37"/>
    <mergeCell ref="C7:F7"/>
    <mergeCell ref="C9:F9"/>
    <mergeCell ref="C12:F12"/>
    <mergeCell ref="A9:B9"/>
    <mergeCell ref="C16:F16"/>
    <mergeCell ref="A7:B7"/>
    <mergeCell ref="C10:F10"/>
    <mergeCell ref="A16:A17"/>
    <mergeCell ref="C17:F17"/>
    <mergeCell ref="A10:B11"/>
    <mergeCell ref="A12:B13"/>
    <mergeCell ref="C14:F14"/>
    <mergeCell ref="A14:B14"/>
    <mergeCell ref="C21:F21"/>
    <mergeCell ref="C20:F20"/>
    <mergeCell ref="A21:B21"/>
    <mergeCell ref="A48:F48"/>
    <mergeCell ref="A37:B37"/>
    <mergeCell ref="A38:B38"/>
    <mergeCell ref="A42:F42"/>
    <mergeCell ref="A39:B39"/>
    <mergeCell ref="C40:F40"/>
    <mergeCell ref="A40:B40"/>
    <mergeCell ref="A41:F41"/>
    <mergeCell ref="C38:F38"/>
    <mergeCell ref="A44:F44"/>
    <mergeCell ref="A45:F45"/>
    <mergeCell ref="A46:F46"/>
    <mergeCell ref="A62:F62"/>
    <mergeCell ref="A63:F63"/>
    <mergeCell ref="A56:F56"/>
    <mergeCell ref="A57:F57"/>
    <mergeCell ref="A58:F58"/>
    <mergeCell ref="A59:F59"/>
    <mergeCell ref="A60:F60"/>
    <mergeCell ref="A61:F61"/>
    <mergeCell ref="A55:F55"/>
    <mergeCell ref="A54:F54"/>
    <mergeCell ref="A52:F52"/>
    <mergeCell ref="A49:F49"/>
    <mergeCell ref="A50:F50"/>
    <mergeCell ref="A51:F51"/>
    <mergeCell ref="A53:F53"/>
    <mergeCell ref="A1:F1"/>
    <mergeCell ref="A3:B3"/>
    <mergeCell ref="A4:B4"/>
    <mergeCell ref="A6:B6"/>
    <mergeCell ref="C3:F3"/>
    <mergeCell ref="C4:F4"/>
    <mergeCell ref="C6:F6"/>
    <mergeCell ref="E36:F36"/>
    <mergeCell ref="A35:D36"/>
    <mergeCell ref="A22:B22"/>
    <mergeCell ref="C22:F22"/>
    <mergeCell ref="A18:B18"/>
    <mergeCell ref="A20:B20"/>
    <mergeCell ref="C18:F18"/>
    <mergeCell ref="A19:F19"/>
  </mergeCells>
  <phoneticPr fontId="3"/>
  <printOptions horizontalCentered="1" verticalCentered="1"/>
  <pageMargins left="0.78740157480314965" right="0.78740157480314965" top="0.78740157480314965" bottom="0.98425196850393704" header="0.51181102362204722" footer="0.51181102362204722"/>
  <pageSetup paperSize="9" scale="98"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G12"/>
  <sheetViews>
    <sheetView zoomScale="115" zoomScaleNormal="115" workbookViewId="0">
      <selection activeCell="I18" sqref="I18"/>
    </sheetView>
  </sheetViews>
  <sheetFormatPr defaultRowHeight="13.5"/>
  <cols>
    <col min="1" max="16384" width="9" style="85"/>
  </cols>
  <sheetData>
    <row r="1" spans="1:7">
      <c r="A1" s="84" t="s">
        <v>146</v>
      </c>
    </row>
    <row r="3" spans="1:7">
      <c r="A3" s="85" t="s">
        <v>147</v>
      </c>
    </row>
    <row r="4" spans="1:7">
      <c r="A4" s="85" t="s">
        <v>171</v>
      </c>
    </row>
    <row r="5" spans="1:7">
      <c r="A5" s="85" t="s">
        <v>172</v>
      </c>
    </row>
    <row r="6" spans="1:7">
      <c r="A6" s="85" t="s">
        <v>148</v>
      </c>
    </row>
    <row r="8" spans="1:7">
      <c r="B8" s="92">
        <f>E8*F10</f>
        <v>65</v>
      </c>
      <c r="D8" s="92" t="s">
        <v>149</v>
      </c>
      <c r="E8" s="92">
        <v>13</v>
      </c>
    </row>
    <row r="9" spans="1:7" ht="14.25" thickBot="1"/>
    <row r="10" spans="1:7" ht="13.5" customHeight="1">
      <c r="B10" s="1246" t="s">
        <v>181</v>
      </c>
      <c r="C10" s="1246"/>
      <c r="D10" s="1246"/>
      <c r="F10" s="1247">
        <v>5</v>
      </c>
      <c r="G10" s="91"/>
    </row>
    <row r="11" spans="1:7">
      <c r="B11" s="1246"/>
      <c r="C11" s="1246"/>
      <c r="D11" s="1246"/>
      <c r="E11" s="86" t="s">
        <v>150</v>
      </c>
      <c r="F11" s="1248"/>
    </row>
    <row r="12" spans="1:7" ht="14.25" thickBot="1">
      <c r="B12" s="1246"/>
      <c r="C12" s="1246"/>
      <c r="D12" s="1246"/>
      <c r="F12" s="1249"/>
    </row>
  </sheetData>
  <mergeCells count="2">
    <mergeCell ref="B10:D12"/>
    <mergeCell ref="F10:F12"/>
  </mergeCells>
  <phoneticPr fontId="3"/>
  <pageMargins left="0.7" right="0.7" top="0.75" bottom="0.75" header="0.3" footer="0.3"/>
  <pageSetup paperSize="9" orientation="landscape" r:id="rId1"/>
  <headerFooter alignWithMargins="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00FF"/>
    <pageSetUpPr fitToPage="1"/>
  </sheetPr>
  <dimension ref="A1:BP288"/>
  <sheetViews>
    <sheetView topLeftCell="A7" workbookViewId="0">
      <selection activeCell="BA22" sqref="BA22"/>
    </sheetView>
  </sheetViews>
  <sheetFormatPr defaultRowHeight="13.5"/>
  <cols>
    <col min="1" max="1" width="2.125" style="426" customWidth="1"/>
    <col min="2" max="2" width="2.375" style="427" customWidth="1"/>
    <col min="3" max="3" width="3.125" style="427" customWidth="1"/>
    <col min="4" max="94" width="2.125" style="427" customWidth="1"/>
    <col min="95" max="16384" width="9" style="427"/>
  </cols>
  <sheetData>
    <row r="1" spans="1:46">
      <c r="AG1" s="1293" t="s">
        <v>271</v>
      </c>
      <c r="AH1" s="1293"/>
      <c r="AI1" s="1293"/>
      <c r="AJ1" s="1293"/>
      <c r="AK1" s="1293"/>
      <c r="AL1" s="1293"/>
      <c r="AM1" s="1293"/>
      <c r="AN1" s="1293"/>
      <c r="AO1" s="1293"/>
      <c r="AP1" s="1293"/>
      <c r="AQ1" s="1293"/>
      <c r="AR1" s="1293"/>
    </row>
    <row r="2" spans="1:46" ht="12" customHeight="1">
      <c r="A2" s="428"/>
      <c r="B2" s="429"/>
      <c r="C2" s="429"/>
      <c r="D2" s="429"/>
      <c r="E2" s="429"/>
      <c r="F2" s="429"/>
      <c r="G2" s="429"/>
      <c r="H2" s="429"/>
      <c r="I2" s="429"/>
      <c r="J2" s="429"/>
      <c r="K2" s="429"/>
      <c r="L2" s="429"/>
      <c r="M2" s="429"/>
      <c r="N2" s="429"/>
      <c r="O2" s="429"/>
      <c r="P2" s="429"/>
      <c r="Q2" s="429"/>
      <c r="R2" s="429"/>
      <c r="S2" s="429"/>
      <c r="T2" s="429"/>
      <c r="U2" s="429"/>
      <c r="V2" s="429"/>
      <c r="W2" s="429"/>
      <c r="X2" s="429"/>
      <c r="Y2" s="429"/>
      <c r="Z2" s="429"/>
      <c r="AA2" s="429"/>
      <c r="AB2" s="429"/>
      <c r="AC2" s="429"/>
      <c r="AD2" s="429"/>
      <c r="AE2" s="429"/>
      <c r="AF2" s="429"/>
      <c r="AG2" s="429"/>
      <c r="AH2" s="429"/>
      <c r="AI2" s="429"/>
      <c r="AJ2" s="429"/>
      <c r="AK2" s="429"/>
      <c r="AL2" s="429"/>
      <c r="AM2" s="429"/>
      <c r="AN2" s="429"/>
      <c r="AO2" s="429"/>
      <c r="AP2" s="429"/>
      <c r="AQ2" s="429"/>
      <c r="AR2" s="430"/>
      <c r="AS2" s="431"/>
      <c r="AT2" s="432"/>
    </row>
    <row r="3" spans="1:46" ht="12" customHeight="1">
      <c r="A3" s="433"/>
      <c r="B3" s="432"/>
      <c r="C3" s="432"/>
      <c r="D3" s="432"/>
      <c r="E3" s="432"/>
      <c r="F3" s="432"/>
      <c r="G3" s="432"/>
      <c r="H3" s="432"/>
      <c r="I3" s="432"/>
      <c r="J3" s="432"/>
      <c r="K3" s="432"/>
      <c r="L3" s="432"/>
      <c r="M3" s="432"/>
      <c r="N3" s="432"/>
      <c r="O3" s="432"/>
      <c r="P3" s="432"/>
      <c r="Q3" s="432"/>
      <c r="R3" s="432"/>
      <c r="S3" s="432"/>
      <c r="T3" s="432"/>
      <c r="U3" s="432"/>
      <c r="V3" s="432"/>
      <c r="W3" s="432"/>
      <c r="X3" s="432"/>
      <c r="Y3" s="432"/>
      <c r="Z3" s="432"/>
      <c r="AA3" s="432"/>
      <c r="AB3" s="432"/>
      <c r="AC3" s="432"/>
      <c r="AD3" s="432"/>
      <c r="AE3" s="432"/>
      <c r="AF3" s="432"/>
      <c r="AG3" s="432"/>
      <c r="AH3" s="432"/>
      <c r="AI3" s="432"/>
      <c r="AJ3" s="432"/>
      <c r="AK3" s="432"/>
      <c r="AL3" s="432"/>
      <c r="AM3" s="432"/>
      <c r="AN3" s="432"/>
      <c r="AO3" s="432"/>
      <c r="AP3" s="432"/>
      <c r="AQ3" s="432"/>
      <c r="AR3" s="434"/>
      <c r="AS3" s="431"/>
      <c r="AT3" s="432"/>
    </row>
    <row r="4" spans="1:46" ht="12" customHeight="1">
      <c r="A4" s="433"/>
      <c r="B4" s="432" t="s">
        <v>272</v>
      </c>
      <c r="C4" s="432"/>
      <c r="D4" s="432"/>
      <c r="E4" s="432"/>
      <c r="F4" s="432"/>
      <c r="G4" s="432"/>
      <c r="H4" s="432"/>
      <c r="I4" s="432"/>
      <c r="J4" s="432"/>
      <c r="K4" s="432"/>
      <c r="L4" s="432"/>
      <c r="M4" s="432"/>
      <c r="N4" s="432"/>
      <c r="O4" s="432"/>
      <c r="P4" s="432"/>
      <c r="Q4" s="432"/>
      <c r="R4" s="432"/>
      <c r="S4" s="432"/>
      <c r="T4" s="432"/>
      <c r="U4" s="432"/>
      <c r="V4" s="432"/>
      <c r="W4" s="432"/>
      <c r="X4" s="432"/>
      <c r="Y4" s="432"/>
      <c r="Z4" s="432"/>
      <c r="AA4" s="432"/>
      <c r="AB4" s="432"/>
      <c r="AC4" s="432"/>
      <c r="AD4" s="432"/>
      <c r="AE4" s="432"/>
      <c r="AF4" s="432"/>
      <c r="AG4" s="432"/>
      <c r="AH4" s="432"/>
      <c r="AI4" s="432"/>
      <c r="AJ4" s="432"/>
      <c r="AK4" s="432"/>
      <c r="AL4" s="432"/>
      <c r="AM4" s="432"/>
      <c r="AN4" s="432"/>
      <c r="AO4" s="432"/>
      <c r="AP4" s="432"/>
      <c r="AQ4" s="432"/>
      <c r="AR4" s="434"/>
      <c r="AS4" s="431"/>
      <c r="AT4" s="432"/>
    </row>
    <row r="5" spans="1:46" ht="12" customHeight="1">
      <c r="A5" s="433"/>
      <c r="B5" s="432"/>
      <c r="C5" s="432"/>
      <c r="D5" s="432"/>
      <c r="E5" s="432"/>
      <c r="F5" s="432"/>
      <c r="G5" s="432"/>
      <c r="H5" s="432"/>
      <c r="I5" s="432"/>
      <c r="J5" s="432"/>
      <c r="K5" s="432"/>
      <c r="L5" s="432"/>
      <c r="M5" s="432"/>
      <c r="N5" s="432"/>
      <c r="O5" s="432"/>
      <c r="P5" s="432"/>
      <c r="Q5" s="432"/>
      <c r="R5" s="432"/>
      <c r="S5" s="432"/>
      <c r="T5" s="432"/>
      <c r="U5" s="432"/>
      <c r="V5" s="432"/>
      <c r="W5" s="432"/>
      <c r="X5" s="432"/>
      <c r="Y5" s="432"/>
      <c r="Z5" s="432"/>
      <c r="AA5" s="432"/>
      <c r="AB5" s="432"/>
      <c r="AC5" s="432"/>
      <c r="AD5" s="432"/>
      <c r="AE5" s="432"/>
      <c r="AF5" s="432"/>
      <c r="AG5" s="432"/>
      <c r="AH5" s="432"/>
      <c r="AI5" s="432"/>
      <c r="AJ5" s="432"/>
      <c r="AK5" s="432"/>
      <c r="AL5" s="432"/>
      <c r="AM5" s="432"/>
      <c r="AN5" s="432"/>
      <c r="AO5" s="432"/>
      <c r="AP5" s="432"/>
      <c r="AQ5" s="432"/>
      <c r="AR5" s="434"/>
      <c r="AS5" s="431"/>
      <c r="AT5" s="432"/>
    </row>
    <row r="6" spans="1:46" ht="12" customHeight="1">
      <c r="A6" s="433"/>
      <c r="B6" s="1305" t="s">
        <v>273</v>
      </c>
      <c r="C6" s="1305"/>
      <c r="D6" s="1305"/>
      <c r="E6" s="1305"/>
      <c r="F6" s="1305"/>
      <c r="G6" s="1305"/>
      <c r="H6" s="1305"/>
      <c r="I6" s="1305"/>
      <c r="J6" s="1305"/>
      <c r="K6" s="1305"/>
      <c r="L6" s="1305"/>
      <c r="M6" s="1305"/>
      <c r="N6" s="1305"/>
      <c r="O6" s="1305"/>
      <c r="P6" s="1305"/>
      <c r="Q6" s="1305"/>
      <c r="R6" s="1305"/>
      <c r="S6" s="1305"/>
      <c r="T6" s="1305"/>
      <c r="U6" s="435"/>
      <c r="V6" s="435"/>
      <c r="W6" s="435"/>
      <c r="X6" s="432"/>
      <c r="Y6" s="432"/>
      <c r="Z6" s="432"/>
      <c r="AA6" s="432"/>
      <c r="AB6" s="432"/>
      <c r="AC6" s="432"/>
      <c r="AD6" s="432"/>
      <c r="AE6" s="432"/>
      <c r="AF6" s="432"/>
      <c r="AG6" s="432"/>
      <c r="AH6" s="432"/>
      <c r="AI6" s="432"/>
      <c r="AJ6" s="432"/>
      <c r="AK6" s="432"/>
      <c r="AL6" s="432"/>
      <c r="AM6" s="432"/>
      <c r="AN6" s="432"/>
      <c r="AO6" s="432"/>
      <c r="AP6" s="432"/>
      <c r="AQ6" s="432"/>
      <c r="AR6" s="434"/>
      <c r="AS6" s="431"/>
      <c r="AT6" s="432"/>
    </row>
    <row r="7" spans="1:46" ht="12" customHeight="1">
      <c r="A7" s="436"/>
      <c r="B7" s="1305"/>
      <c r="C7" s="1305"/>
      <c r="D7" s="1305"/>
      <c r="E7" s="1305"/>
      <c r="F7" s="1305"/>
      <c r="G7" s="1305"/>
      <c r="H7" s="1305"/>
      <c r="I7" s="1305"/>
      <c r="J7" s="1305"/>
      <c r="K7" s="1305"/>
      <c r="L7" s="1305"/>
      <c r="M7" s="1305"/>
      <c r="N7" s="1305"/>
      <c r="O7" s="1305"/>
      <c r="P7" s="1305"/>
      <c r="Q7" s="1305"/>
      <c r="R7" s="1305"/>
      <c r="S7" s="1305"/>
      <c r="T7" s="1305"/>
      <c r="U7" s="435"/>
      <c r="V7" s="435"/>
      <c r="W7" s="435"/>
      <c r="X7" s="437"/>
      <c r="Y7" s="437"/>
      <c r="Z7" s="437"/>
      <c r="AA7" s="437"/>
      <c r="AB7" s="437"/>
      <c r="AC7" s="437"/>
      <c r="AD7" s="437"/>
      <c r="AE7" s="437"/>
      <c r="AF7" s="437"/>
      <c r="AG7" s="437"/>
      <c r="AH7" s="437"/>
      <c r="AI7" s="437"/>
      <c r="AJ7" s="437"/>
      <c r="AK7" s="437"/>
      <c r="AL7" s="437"/>
      <c r="AM7" s="437"/>
      <c r="AN7" s="437"/>
      <c r="AO7" s="437"/>
      <c r="AP7" s="437"/>
      <c r="AQ7" s="437"/>
      <c r="AR7" s="438"/>
      <c r="AS7" s="439"/>
      <c r="AT7" s="432"/>
    </row>
    <row r="8" spans="1:46" ht="12" customHeight="1">
      <c r="A8" s="436"/>
      <c r="B8" s="1305" t="s">
        <v>274</v>
      </c>
      <c r="C8" s="1305"/>
      <c r="D8" s="1305"/>
      <c r="E8" s="1305"/>
      <c r="F8" s="1305"/>
      <c r="G8" s="1305"/>
      <c r="H8" s="1305"/>
      <c r="I8" s="1305"/>
      <c r="J8" s="1305"/>
      <c r="K8" s="1305"/>
      <c r="L8" s="1305"/>
      <c r="M8" s="1305"/>
      <c r="N8" s="1305"/>
      <c r="O8" s="1305"/>
      <c r="P8" s="1305"/>
      <c r="Q8" s="1305"/>
      <c r="R8" s="1305"/>
      <c r="S8" s="1305"/>
      <c r="T8" s="1305"/>
      <c r="U8" s="1305" t="s">
        <v>275</v>
      </c>
      <c r="V8" s="1305"/>
      <c r="W8" s="1305"/>
      <c r="X8" s="1305"/>
      <c r="Y8" s="1305"/>
      <c r="Z8" s="1306" t="s">
        <v>276</v>
      </c>
      <c r="AA8" s="1306"/>
      <c r="AB8" s="1306"/>
      <c r="AC8" s="1306"/>
      <c r="AD8" s="1306"/>
      <c r="AE8" s="1306"/>
      <c r="AF8" s="1306"/>
      <c r="AG8" s="1306"/>
      <c r="AH8" s="1306"/>
      <c r="AI8" s="1306"/>
      <c r="AJ8" s="1306"/>
      <c r="AK8" s="1306"/>
      <c r="AL8" s="1306"/>
      <c r="AM8" s="1306"/>
      <c r="AN8" s="1306"/>
      <c r="AO8" s="1306"/>
      <c r="AP8" s="437"/>
      <c r="AQ8" s="437"/>
      <c r="AR8" s="438"/>
      <c r="AS8" s="439"/>
      <c r="AT8" s="432"/>
    </row>
    <row r="9" spans="1:46" ht="12" customHeight="1">
      <c r="A9" s="436"/>
      <c r="B9" s="1305"/>
      <c r="C9" s="1305"/>
      <c r="D9" s="1305"/>
      <c r="E9" s="1305"/>
      <c r="F9" s="1305"/>
      <c r="G9" s="1305"/>
      <c r="H9" s="1305"/>
      <c r="I9" s="1305"/>
      <c r="J9" s="1305"/>
      <c r="K9" s="1305"/>
      <c r="L9" s="1305"/>
      <c r="M9" s="1305"/>
      <c r="N9" s="1305"/>
      <c r="O9" s="1305"/>
      <c r="P9" s="1305"/>
      <c r="Q9" s="1305"/>
      <c r="R9" s="1305"/>
      <c r="S9" s="1305"/>
      <c r="T9" s="1305"/>
      <c r="U9" s="1305"/>
      <c r="V9" s="1305"/>
      <c r="W9" s="1305"/>
      <c r="X9" s="1305"/>
      <c r="Y9" s="1305"/>
      <c r="Z9" s="1306"/>
      <c r="AA9" s="1306"/>
      <c r="AB9" s="1306"/>
      <c r="AC9" s="1306"/>
      <c r="AD9" s="1306"/>
      <c r="AE9" s="1306"/>
      <c r="AF9" s="1306"/>
      <c r="AG9" s="1306"/>
      <c r="AH9" s="1306"/>
      <c r="AI9" s="1306"/>
      <c r="AJ9" s="1306"/>
      <c r="AK9" s="1306"/>
      <c r="AL9" s="1306"/>
      <c r="AM9" s="1306"/>
      <c r="AN9" s="1306"/>
      <c r="AO9" s="1306"/>
      <c r="AP9" s="437"/>
      <c r="AQ9" s="437"/>
      <c r="AR9" s="438"/>
      <c r="AS9" s="439"/>
      <c r="AT9" s="432"/>
    </row>
    <row r="10" spans="1:46" ht="12" customHeight="1">
      <c r="A10" s="433"/>
      <c r="B10" s="432"/>
      <c r="C10" s="432"/>
      <c r="D10" s="432"/>
      <c r="E10" s="432"/>
      <c r="F10" s="432"/>
      <c r="G10" s="432"/>
      <c r="H10" s="432"/>
      <c r="I10" s="432"/>
      <c r="J10" s="432"/>
      <c r="K10" s="432"/>
      <c r="L10" s="432"/>
      <c r="M10" s="432"/>
      <c r="N10" s="432"/>
      <c r="O10" s="432"/>
      <c r="P10" s="432"/>
      <c r="Q10" s="432"/>
      <c r="R10" s="432"/>
      <c r="S10" s="432"/>
      <c r="T10" s="432"/>
      <c r="U10" s="432"/>
      <c r="V10" s="432"/>
      <c r="W10" s="432"/>
      <c r="X10" s="432"/>
      <c r="Y10" s="432"/>
      <c r="Z10" s="432"/>
      <c r="AA10" s="432"/>
      <c r="AB10" s="432"/>
      <c r="AC10" s="432"/>
      <c r="AD10" s="432"/>
      <c r="AE10" s="432"/>
      <c r="AF10" s="432"/>
      <c r="AG10" s="432"/>
      <c r="AH10" s="432"/>
      <c r="AI10" s="432"/>
      <c r="AJ10" s="432"/>
      <c r="AK10" s="432"/>
      <c r="AL10" s="432"/>
      <c r="AM10" s="432"/>
      <c r="AN10" s="432"/>
      <c r="AO10" s="432"/>
      <c r="AP10" s="432"/>
      <c r="AQ10" s="432"/>
      <c r="AR10" s="434"/>
      <c r="AS10" s="431"/>
      <c r="AT10" s="432"/>
    </row>
    <row r="11" spans="1:46" ht="12" customHeight="1">
      <c r="A11" s="433"/>
      <c r="B11" s="1317" t="s">
        <v>277</v>
      </c>
      <c r="C11" s="1318"/>
      <c r="D11" s="1318"/>
      <c r="E11" s="1318"/>
      <c r="F11" s="1318"/>
      <c r="G11" s="1318"/>
      <c r="H11" s="1318"/>
      <c r="I11" s="1318"/>
      <c r="J11" s="1318"/>
      <c r="K11" s="1318"/>
      <c r="L11" s="441"/>
      <c r="M11" s="1319"/>
      <c r="N11" s="1319"/>
      <c r="O11" s="1319"/>
      <c r="P11" s="1319"/>
      <c r="Q11" s="1319"/>
      <c r="R11" s="1319"/>
      <c r="S11" s="1319"/>
      <c r="T11" s="1319"/>
      <c r="U11" s="1319"/>
      <c r="V11" s="1320"/>
      <c r="W11" s="442"/>
      <c r="X11" s="1319"/>
      <c r="Y11" s="1321"/>
      <c r="Z11" s="1321"/>
      <c r="AA11" s="1321"/>
      <c r="AB11" s="1321"/>
      <c r="AC11" s="1321"/>
      <c r="AD11" s="1321"/>
      <c r="AE11" s="1321"/>
      <c r="AF11" s="1321"/>
      <c r="AG11" s="1322"/>
      <c r="AH11" s="442"/>
      <c r="AI11" s="1319"/>
      <c r="AJ11" s="1321"/>
      <c r="AK11" s="1321"/>
      <c r="AL11" s="1321"/>
      <c r="AM11" s="1321"/>
      <c r="AN11" s="1321"/>
      <c r="AO11" s="1321"/>
      <c r="AP11" s="1321"/>
      <c r="AQ11" s="1323"/>
      <c r="AR11" s="443"/>
      <c r="AS11" s="431"/>
      <c r="AT11" s="432"/>
    </row>
    <row r="12" spans="1:46" ht="12" customHeight="1">
      <c r="A12" s="433"/>
      <c r="B12" s="1324" t="s">
        <v>278</v>
      </c>
      <c r="C12" s="1325"/>
      <c r="D12" s="1325"/>
      <c r="E12" s="1325"/>
      <c r="F12" s="1325"/>
      <c r="G12" s="1325"/>
      <c r="H12" s="1325"/>
      <c r="I12" s="1325"/>
      <c r="J12" s="1325"/>
      <c r="K12" s="1325"/>
      <c r="L12" s="444" t="s">
        <v>279</v>
      </c>
      <c r="M12" s="445"/>
      <c r="N12" s="445"/>
      <c r="O12" s="445"/>
      <c r="P12" s="445"/>
      <c r="Q12" s="445"/>
      <c r="R12" s="445"/>
      <c r="S12" s="445"/>
      <c r="T12" s="445"/>
      <c r="U12" s="445"/>
      <c r="V12" s="445"/>
      <c r="W12" s="446" t="s">
        <v>280</v>
      </c>
      <c r="X12" s="445"/>
      <c r="Y12" s="445"/>
      <c r="Z12" s="445"/>
      <c r="AA12" s="445"/>
      <c r="AB12" s="445"/>
      <c r="AC12" s="445"/>
      <c r="AD12" s="445"/>
      <c r="AE12" s="445"/>
      <c r="AF12" s="445"/>
      <c r="AG12" s="447"/>
      <c r="AH12" s="446" t="s">
        <v>281</v>
      </c>
      <c r="AI12" s="445"/>
      <c r="AJ12" s="445"/>
      <c r="AK12" s="445"/>
      <c r="AL12" s="445"/>
      <c r="AM12" s="445"/>
      <c r="AN12" s="445"/>
      <c r="AO12" s="445"/>
      <c r="AP12" s="445"/>
      <c r="AQ12" s="448"/>
      <c r="AR12" s="443"/>
      <c r="AS12" s="431"/>
      <c r="AT12" s="432"/>
    </row>
    <row r="13" spans="1:46" ht="12" customHeight="1">
      <c r="A13" s="433"/>
      <c r="B13" s="1326"/>
      <c r="C13" s="1278"/>
      <c r="D13" s="1278"/>
      <c r="E13" s="1278"/>
      <c r="F13" s="1278"/>
      <c r="G13" s="1278"/>
      <c r="H13" s="1278"/>
      <c r="I13" s="1278"/>
      <c r="J13" s="1278"/>
      <c r="K13" s="1278"/>
      <c r="L13" s="1329"/>
      <c r="M13" s="1312"/>
      <c r="N13" s="1312"/>
      <c r="O13" s="1312"/>
      <c r="P13" s="1312"/>
      <c r="Q13" s="1312"/>
      <c r="R13" s="1312"/>
      <c r="S13" s="1312"/>
      <c r="T13" s="1312"/>
      <c r="U13" s="1312"/>
      <c r="V13" s="1330"/>
      <c r="W13" s="1332"/>
      <c r="X13" s="1312"/>
      <c r="Y13" s="1312"/>
      <c r="Z13" s="1312"/>
      <c r="AA13" s="1312"/>
      <c r="AB13" s="1312"/>
      <c r="AC13" s="1312"/>
      <c r="AD13" s="1312"/>
      <c r="AE13" s="1312"/>
      <c r="AF13" s="1312"/>
      <c r="AG13" s="1330"/>
      <c r="AH13" s="1332"/>
      <c r="AI13" s="1312"/>
      <c r="AJ13" s="1312"/>
      <c r="AK13" s="1312"/>
      <c r="AL13" s="1312"/>
      <c r="AM13" s="1312"/>
      <c r="AN13" s="1312"/>
      <c r="AO13" s="1312"/>
      <c r="AP13" s="1312"/>
      <c r="AQ13" s="1313"/>
      <c r="AR13" s="443"/>
      <c r="AS13" s="431"/>
      <c r="AT13" s="432"/>
    </row>
    <row r="14" spans="1:46" ht="12" customHeight="1">
      <c r="A14" s="433"/>
      <c r="B14" s="1326"/>
      <c r="C14" s="1278"/>
      <c r="D14" s="1278"/>
      <c r="E14" s="1278"/>
      <c r="F14" s="1278"/>
      <c r="G14" s="1278"/>
      <c r="H14" s="1278"/>
      <c r="I14" s="1278"/>
      <c r="J14" s="1278"/>
      <c r="K14" s="1278"/>
      <c r="L14" s="1311"/>
      <c r="M14" s="1312"/>
      <c r="N14" s="1312"/>
      <c r="O14" s="1312"/>
      <c r="P14" s="1312"/>
      <c r="Q14" s="1312"/>
      <c r="R14" s="1312"/>
      <c r="S14" s="1312"/>
      <c r="T14" s="1312"/>
      <c r="U14" s="1312"/>
      <c r="V14" s="1330"/>
      <c r="W14" s="1333"/>
      <c r="X14" s="1312"/>
      <c r="Y14" s="1312"/>
      <c r="Z14" s="1312"/>
      <c r="AA14" s="1312"/>
      <c r="AB14" s="1312"/>
      <c r="AC14" s="1312"/>
      <c r="AD14" s="1312"/>
      <c r="AE14" s="1312"/>
      <c r="AF14" s="1312"/>
      <c r="AG14" s="1330"/>
      <c r="AH14" s="1333"/>
      <c r="AI14" s="1312"/>
      <c r="AJ14" s="1312"/>
      <c r="AK14" s="1312"/>
      <c r="AL14" s="1312"/>
      <c r="AM14" s="1312"/>
      <c r="AN14" s="1312"/>
      <c r="AO14" s="1312"/>
      <c r="AP14" s="1312"/>
      <c r="AQ14" s="1313"/>
      <c r="AR14" s="443"/>
      <c r="AS14" s="431"/>
      <c r="AT14" s="432"/>
    </row>
    <row r="15" spans="1:46" ht="12" customHeight="1">
      <c r="A15" s="433"/>
      <c r="B15" s="1327"/>
      <c r="C15" s="1328"/>
      <c r="D15" s="1328"/>
      <c r="E15" s="1328"/>
      <c r="F15" s="1328"/>
      <c r="G15" s="1328"/>
      <c r="H15" s="1328"/>
      <c r="I15" s="1328"/>
      <c r="J15" s="1328"/>
      <c r="K15" s="1328"/>
      <c r="L15" s="1314"/>
      <c r="M15" s="1315"/>
      <c r="N15" s="1315"/>
      <c r="O15" s="1315"/>
      <c r="P15" s="1315"/>
      <c r="Q15" s="1315"/>
      <c r="R15" s="1315"/>
      <c r="S15" s="1315"/>
      <c r="T15" s="1315"/>
      <c r="U15" s="1315"/>
      <c r="V15" s="1331"/>
      <c r="W15" s="1334"/>
      <c r="X15" s="1315"/>
      <c r="Y15" s="1315"/>
      <c r="Z15" s="1315"/>
      <c r="AA15" s="1315"/>
      <c r="AB15" s="1315"/>
      <c r="AC15" s="1315"/>
      <c r="AD15" s="1315"/>
      <c r="AE15" s="1315"/>
      <c r="AF15" s="1315"/>
      <c r="AG15" s="1331"/>
      <c r="AH15" s="1334"/>
      <c r="AI15" s="1315"/>
      <c r="AJ15" s="1315"/>
      <c r="AK15" s="1315"/>
      <c r="AL15" s="1315"/>
      <c r="AM15" s="1315"/>
      <c r="AN15" s="1315"/>
      <c r="AO15" s="1315"/>
      <c r="AP15" s="1315"/>
      <c r="AQ15" s="1316"/>
      <c r="AR15" s="443"/>
      <c r="AS15" s="431"/>
      <c r="AT15" s="432"/>
    </row>
    <row r="16" spans="1:46" ht="12" customHeight="1">
      <c r="A16" s="433"/>
      <c r="B16" s="1307" t="s">
        <v>282</v>
      </c>
      <c r="C16" s="1288"/>
      <c r="D16" s="1288"/>
      <c r="E16" s="1288"/>
      <c r="F16" s="1288"/>
      <c r="G16" s="1288"/>
      <c r="H16" s="1288"/>
      <c r="I16" s="1288"/>
      <c r="J16" s="1289"/>
      <c r="K16" s="1308"/>
      <c r="L16" s="1309"/>
      <c r="M16" s="1309"/>
      <c r="N16" s="1309"/>
      <c r="O16" s="1309"/>
      <c r="P16" s="1309"/>
      <c r="Q16" s="1309"/>
      <c r="R16" s="1309"/>
      <c r="S16" s="1309"/>
      <c r="T16" s="1309"/>
      <c r="U16" s="1309"/>
      <c r="V16" s="1310"/>
      <c r="W16" s="1287" t="s">
        <v>283</v>
      </c>
      <c r="X16" s="1288"/>
      <c r="Y16" s="1288"/>
      <c r="Z16" s="1288"/>
      <c r="AA16" s="1288"/>
      <c r="AB16" s="1288"/>
      <c r="AC16" s="1288"/>
      <c r="AD16" s="1288"/>
      <c r="AE16" s="1289"/>
      <c r="AF16" s="429"/>
      <c r="AG16" s="429"/>
      <c r="AH16" s="429"/>
      <c r="AI16" s="429"/>
      <c r="AJ16" s="429"/>
      <c r="AK16" s="429"/>
      <c r="AL16" s="429"/>
      <c r="AM16" s="429"/>
      <c r="AN16" s="429"/>
      <c r="AO16" s="429"/>
      <c r="AP16" s="429"/>
      <c r="AQ16" s="434"/>
      <c r="AR16" s="434"/>
      <c r="AS16" s="431"/>
      <c r="AT16" s="432"/>
    </row>
    <row r="17" spans="1:68" ht="12" customHeight="1">
      <c r="A17" s="433"/>
      <c r="B17" s="1290"/>
      <c r="C17" s="1264"/>
      <c r="D17" s="1264"/>
      <c r="E17" s="1264"/>
      <c r="F17" s="1264"/>
      <c r="G17" s="1264"/>
      <c r="H17" s="1264"/>
      <c r="I17" s="1264"/>
      <c r="J17" s="1291"/>
      <c r="K17" s="1311"/>
      <c r="L17" s="1312"/>
      <c r="M17" s="1312"/>
      <c r="N17" s="1312"/>
      <c r="O17" s="1312"/>
      <c r="P17" s="1312"/>
      <c r="Q17" s="1312"/>
      <c r="R17" s="1312"/>
      <c r="S17" s="1312"/>
      <c r="T17" s="1312"/>
      <c r="U17" s="1312"/>
      <c r="V17" s="1313"/>
      <c r="W17" s="1290"/>
      <c r="X17" s="1264"/>
      <c r="Y17" s="1264"/>
      <c r="Z17" s="1264"/>
      <c r="AA17" s="1264"/>
      <c r="AB17" s="1264"/>
      <c r="AC17" s="1264"/>
      <c r="AD17" s="1264"/>
      <c r="AE17" s="1291"/>
      <c r="AF17" s="432"/>
      <c r="AG17" s="432"/>
      <c r="AH17" s="432"/>
      <c r="AI17" s="432"/>
      <c r="AJ17" s="432"/>
      <c r="AK17" s="432"/>
      <c r="AL17" s="432"/>
      <c r="AM17" s="432"/>
      <c r="AN17" s="432"/>
      <c r="AO17" s="432"/>
      <c r="AP17" s="432"/>
      <c r="AQ17" s="434"/>
      <c r="AR17" s="434"/>
      <c r="AS17" s="431"/>
      <c r="AT17" s="432"/>
    </row>
    <row r="18" spans="1:68" ht="12" customHeight="1">
      <c r="A18" s="433"/>
      <c r="B18" s="1290"/>
      <c r="C18" s="1264"/>
      <c r="D18" s="1264"/>
      <c r="E18" s="1264"/>
      <c r="F18" s="1264"/>
      <c r="G18" s="1264"/>
      <c r="H18" s="1264"/>
      <c r="I18" s="1264"/>
      <c r="J18" s="1291"/>
      <c r="K18" s="1311"/>
      <c r="L18" s="1312"/>
      <c r="M18" s="1312"/>
      <c r="N18" s="1312"/>
      <c r="O18" s="1312"/>
      <c r="P18" s="1312"/>
      <c r="Q18" s="1312"/>
      <c r="R18" s="1312"/>
      <c r="S18" s="1312"/>
      <c r="T18" s="1312"/>
      <c r="U18" s="1312"/>
      <c r="V18" s="1313"/>
      <c r="W18" s="1290"/>
      <c r="X18" s="1264"/>
      <c r="Y18" s="1264"/>
      <c r="Z18" s="1264"/>
      <c r="AA18" s="1264"/>
      <c r="AB18" s="1264"/>
      <c r="AC18" s="1264"/>
      <c r="AD18" s="1264"/>
      <c r="AE18" s="1291"/>
      <c r="AF18" s="1304"/>
      <c r="AG18" s="1272"/>
      <c r="AH18" s="1272"/>
      <c r="AI18" s="450" t="s">
        <v>8</v>
      </c>
      <c r="AJ18" s="432"/>
      <c r="AK18" s="1272"/>
      <c r="AL18" s="1272"/>
      <c r="AM18" s="450" t="s">
        <v>284</v>
      </c>
      <c r="AN18" s="1272"/>
      <c r="AO18" s="1272"/>
      <c r="AP18" s="450" t="s">
        <v>285</v>
      </c>
      <c r="AQ18" s="434"/>
      <c r="AR18" s="434"/>
      <c r="AS18" s="431"/>
      <c r="AT18" s="432"/>
    </row>
    <row r="19" spans="1:68" ht="12" customHeight="1">
      <c r="A19" s="433"/>
      <c r="B19" s="1290"/>
      <c r="C19" s="1264"/>
      <c r="D19" s="1264"/>
      <c r="E19" s="1264"/>
      <c r="F19" s="1264"/>
      <c r="G19" s="1264"/>
      <c r="H19" s="1264"/>
      <c r="I19" s="1264"/>
      <c r="J19" s="1291"/>
      <c r="K19" s="1311"/>
      <c r="L19" s="1312"/>
      <c r="M19" s="1312"/>
      <c r="N19" s="1312"/>
      <c r="O19" s="1312"/>
      <c r="P19" s="1312"/>
      <c r="Q19" s="1312"/>
      <c r="R19" s="1312"/>
      <c r="S19" s="1312"/>
      <c r="T19" s="1312"/>
      <c r="U19" s="1312"/>
      <c r="V19" s="1313"/>
      <c r="W19" s="1290"/>
      <c r="X19" s="1264"/>
      <c r="Y19" s="1264"/>
      <c r="Z19" s="1264"/>
      <c r="AA19" s="1264"/>
      <c r="AB19" s="1264"/>
      <c r="AC19" s="1264"/>
      <c r="AD19" s="1264"/>
      <c r="AE19" s="1291"/>
      <c r="AF19" s="432"/>
      <c r="AG19" s="432"/>
      <c r="AH19" s="432"/>
      <c r="AI19" s="432"/>
      <c r="AJ19" s="432"/>
      <c r="AK19" s="432"/>
      <c r="AL19" s="432"/>
      <c r="AM19" s="432"/>
      <c r="AN19" s="432"/>
      <c r="AO19" s="432"/>
      <c r="AP19" s="432"/>
      <c r="AQ19" s="434"/>
      <c r="AR19" s="434"/>
      <c r="AS19" s="431"/>
      <c r="AT19" s="432"/>
    </row>
    <row r="20" spans="1:68" ht="12" customHeight="1">
      <c r="A20" s="433"/>
      <c r="B20" s="1292"/>
      <c r="C20" s="1293"/>
      <c r="D20" s="1293"/>
      <c r="E20" s="1293"/>
      <c r="F20" s="1293"/>
      <c r="G20" s="1293"/>
      <c r="H20" s="1293"/>
      <c r="I20" s="1293"/>
      <c r="J20" s="1294"/>
      <c r="K20" s="1314"/>
      <c r="L20" s="1315"/>
      <c r="M20" s="1315"/>
      <c r="N20" s="1315"/>
      <c r="O20" s="1315"/>
      <c r="P20" s="1315"/>
      <c r="Q20" s="1315"/>
      <c r="R20" s="1315"/>
      <c r="S20" s="1315"/>
      <c r="T20" s="1315"/>
      <c r="U20" s="1315"/>
      <c r="V20" s="1316"/>
      <c r="W20" s="1292"/>
      <c r="X20" s="1293"/>
      <c r="Y20" s="1293"/>
      <c r="Z20" s="1293"/>
      <c r="AA20" s="1293"/>
      <c r="AB20" s="1293"/>
      <c r="AC20" s="1293"/>
      <c r="AD20" s="1293"/>
      <c r="AE20" s="1294"/>
      <c r="AF20" s="451"/>
      <c r="AG20" s="451"/>
      <c r="AH20" s="451"/>
      <c r="AI20" s="451"/>
      <c r="AJ20" s="451"/>
      <c r="AK20" s="451"/>
      <c r="AL20" s="451"/>
      <c r="AM20" s="451"/>
      <c r="AN20" s="451"/>
      <c r="AO20" s="451" t="s">
        <v>286</v>
      </c>
      <c r="AP20" s="451"/>
      <c r="AQ20" s="452"/>
      <c r="AR20" s="434"/>
      <c r="AS20" s="431"/>
    </row>
    <row r="21" spans="1:68" ht="12" customHeight="1">
      <c r="A21" s="433"/>
      <c r="B21" s="1287" t="s">
        <v>287</v>
      </c>
      <c r="C21" s="1288"/>
      <c r="D21" s="1288"/>
      <c r="E21" s="1288"/>
      <c r="F21" s="1288"/>
      <c r="G21" s="1288"/>
      <c r="H21" s="1288"/>
      <c r="I21" s="1288"/>
      <c r="J21" s="1289"/>
      <c r="K21" s="429"/>
      <c r="L21" s="429"/>
      <c r="M21" s="429"/>
      <c r="N21" s="429"/>
      <c r="O21" s="429"/>
      <c r="P21" s="429"/>
      <c r="Q21" s="429"/>
      <c r="R21" s="429"/>
      <c r="S21" s="429"/>
      <c r="T21" s="429"/>
      <c r="U21" s="429"/>
      <c r="V21" s="430"/>
      <c r="W21" s="1287" t="s">
        <v>288</v>
      </c>
      <c r="X21" s="1288"/>
      <c r="Y21" s="1288"/>
      <c r="Z21" s="1288"/>
      <c r="AA21" s="1288"/>
      <c r="AB21" s="1288"/>
      <c r="AC21" s="1288"/>
      <c r="AD21" s="1288"/>
      <c r="AE21" s="1289"/>
      <c r="AF21" s="429"/>
      <c r="AG21" s="429"/>
      <c r="AH21" s="429"/>
      <c r="AI21" s="429"/>
      <c r="AJ21" s="429"/>
      <c r="AK21" s="429"/>
      <c r="AL21" s="429"/>
      <c r="AM21" s="429"/>
      <c r="AN21" s="429"/>
      <c r="AO21" s="429"/>
      <c r="AP21" s="429"/>
      <c r="AQ21" s="430"/>
      <c r="AR21" s="434"/>
      <c r="AS21" s="431"/>
    </row>
    <row r="22" spans="1:68" ht="12" customHeight="1">
      <c r="A22" s="433"/>
      <c r="B22" s="1290"/>
      <c r="C22" s="1264"/>
      <c r="D22" s="1264"/>
      <c r="E22" s="1264"/>
      <c r="F22" s="1264"/>
      <c r="G22" s="1264"/>
      <c r="H22" s="1264"/>
      <c r="I22" s="1264"/>
      <c r="J22" s="1291"/>
      <c r="K22" s="432"/>
      <c r="L22" s="453"/>
      <c r="M22" s="453"/>
      <c r="N22" s="453"/>
      <c r="O22" s="453"/>
      <c r="P22" s="453"/>
      <c r="Q22" s="453"/>
      <c r="R22" s="453"/>
      <c r="S22" s="453"/>
      <c r="T22" s="453"/>
      <c r="U22" s="453"/>
      <c r="V22" s="434"/>
      <c r="W22" s="1290"/>
      <c r="X22" s="1264"/>
      <c r="Y22" s="1264"/>
      <c r="Z22" s="1264"/>
      <c r="AA22" s="1264"/>
      <c r="AB22" s="1264"/>
      <c r="AC22" s="1264"/>
      <c r="AD22" s="1264"/>
      <c r="AE22" s="1291"/>
      <c r="AF22" s="432"/>
      <c r="AG22" s="1272" t="s">
        <v>289</v>
      </c>
      <c r="AH22" s="1272"/>
      <c r="AI22" s="1272"/>
      <c r="AJ22" s="1272"/>
      <c r="AK22" s="1264" t="s">
        <v>290</v>
      </c>
      <c r="AL22" s="1264"/>
      <c r="AM22" s="1272" t="s">
        <v>291</v>
      </c>
      <c r="AN22" s="1272"/>
      <c r="AO22" s="1272"/>
      <c r="AP22" s="1272"/>
      <c r="AQ22" s="434"/>
      <c r="AR22" s="434"/>
      <c r="AS22" s="431"/>
    </row>
    <row r="23" spans="1:68" ht="12" customHeight="1">
      <c r="A23" s="433"/>
      <c r="B23" s="1290"/>
      <c r="C23" s="1264"/>
      <c r="D23" s="1264"/>
      <c r="E23" s="1264"/>
      <c r="F23" s="1264"/>
      <c r="G23" s="1264"/>
      <c r="H23" s="1264"/>
      <c r="I23" s="1264"/>
      <c r="J23" s="1291"/>
      <c r="K23" s="1304"/>
      <c r="L23" s="1272"/>
      <c r="M23" s="1272"/>
      <c r="N23" s="450" t="s">
        <v>8</v>
      </c>
      <c r="O23" s="432"/>
      <c r="P23" s="1272"/>
      <c r="Q23" s="1272"/>
      <c r="R23" s="450" t="s">
        <v>284</v>
      </c>
      <c r="S23" s="1272"/>
      <c r="T23" s="1272"/>
      <c r="U23" s="450" t="s">
        <v>285</v>
      </c>
      <c r="V23" s="434"/>
      <c r="W23" s="1290"/>
      <c r="X23" s="1264"/>
      <c r="Y23" s="1264"/>
      <c r="Z23" s="1264"/>
      <c r="AA23" s="1264"/>
      <c r="AB23" s="1264"/>
      <c r="AC23" s="1264"/>
      <c r="AD23" s="1264"/>
      <c r="AE23" s="1291"/>
      <c r="AF23" s="432"/>
      <c r="AG23" s="1272"/>
      <c r="AH23" s="1272"/>
      <c r="AI23" s="1272"/>
      <c r="AJ23" s="1272"/>
      <c r="AK23" s="1264"/>
      <c r="AL23" s="1264"/>
      <c r="AM23" s="1272"/>
      <c r="AN23" s="1272"/>
      <c r="AO23" s="1272"/>
      <c r="AP23" s="1272"/>
      <c r="AQ23" s="434"/>
      <c r="AR23" s="434"/>
      <c r="AS23" s="431"/>
    </row>
    <row r="24" spans="1:68" ht="12" customHeight="1">
      <c r="A24" s="433"/>
      <c r="B24" s="1290"/>
      <c r="C24" s="1264"/>
      <c r="D24" s="1264"/>
      <c r="E24" s="1264"/>
      <c r="F24" s="1264"/>
      <c r="G24" s="1264"/>
      <c r="H24" s="1264"/>
      <c r="I24" s="1264"/>
      <c r="J24" s="1291"/>
      <c r="K24" s="432"/>
      <c r="L24" s="453"/>
      <c r="M24" s="453"/>
      <c r="N24" s="453"/>
      <c r="O24" s="453"/>
      <c r="P24" s="453"/>
      <c r="Q24" s="453"/>
      <c r="R24" s="453"/>
      <c r="S24" s="453"/>
      <c r="T24" s="453"/>
      <c r="U24" s="453"/>
      <c r="V24" s="434"/>
      <c r="W24" s="1290"/>
      <c r="X24" s="1264"/>
      <c r="Y24" s="1264"/>
      <c r="Z24" s="1264"/>
      <c r="AA24" s="1264"/>
      <c r="AB24" s="1264"/>
      <c r="AC24" s="1264"/>
      <c r="AD24" s="1264"/>
      <c r="AE24" s="1291"/>
      <c r="AF24" s="432"/>
      <c r="AG24" s="1272"/>
      <c r="AH24" s="1272"/>
      <c r="AI24" s="1272"/>
      <c r="AJ24" s="1272"/>
      <c r="AK24" s="1264"/>
      <c r="AL24" s="1264"/>
      <c r="AM24" s="1272"/>
      <c r="AN24" s="1272"/>
      <c r="AO24" s="1272"/>
      <c r="AP24" s="1272"/>
      <c r="AQ24" s="434"/>
      <c r="AR24" s="434"/>
      <c r="AS24" s="431"/>
    </row>
    <row r="25" spans="1:68" ht="12" customHeight="1">
      <c r="A25" s="433"/>
      <c r="B25" s="1292"/>
      <c r="C25" s="1293"/>
      <c r="D25" s="1293"/>
      <c r="E25" s="1293"/>
      <c r="F25" s="1293"/>
      <c r="G25" s="1293"/>
      <c r="H25" s="1293"/>
      <c r="I25" s="1293"/>
      <c r="J25" s="1294"/>
      <c r="K25" s="451"/>
      <c r="L25" s="451"/>
      <c r="M25" s="451"/>
      <c r="N25" s="451"/>
      <c r="O25" s="451"/>
      <c r="P25" s="451"/>
      <c r="Q25" s="451"/>
      <c r="R25" s="451"/>
      <c r="S25" s="451"/>
      <c r="T25" s="451"/>
      <c r="U25" s="451"/>
      <c r="V25" s="452"/>
      <c r="W25" s="1292"/>
      <c r="X25" s="1293"/>
      <c r="Y25" s="1293"/>
      <c r="Z25" s="1293"/>
      <c r="AA25" s="1293"/>
      <c r="AB25" s="1293"/>
      <c r="AC25" s="1293"/>
      <c r="AD25" s="1293"/>
      <c r="AE25" s="1294"/>
      <c r="AF25" s="451"/>
      <c r="AG25" s="451"/>
      <c r="AH25" s="451"/>
      <c r="AI25" s="451"/>
      <c r="AJ25" s="451"/>
      <c r="AK25" s="451"/>
      <c r="AL25" s="451"/>
      <c r="AM25" s="451"/>
      <c r="AN25" s="451"/>
      <c r="AO25" s="451"/>
      <c r="AP25" s="451"/>
      <c r="AQ25" s="452"/>
      <c r="AR25" s="434"/>
      <c r="AS25" s="431"/>
    </row>
    <row r="26" spans="1:68" ht="12" customHeight="1">
      <c r="A26" s="433"/>
      <c r="B26" s="1287" t="s">
        <v>292</v>
      </c>
      <c r="C26" s="1288"/>
      <c r="D26" s="1288"/>
      <c r="E26" s="1288"/>
      <c r="F26" s="1288"/>
      <c r="G26" s="1288"/>
      <c r="H26" s="1288"/>
      <c r="I26" s="1288"/>
      <c r="J26" s="1289"/>
      <c r="K26" s="1295"/>
      <c r="L26" s="1296"/>
      <c r="M26" s="1296"/>
      <c r="N26" s="1296"/>
      <c r="O26" s="1296"/>
      <c r="P26" s="1296"/>
      <c r="Q26" s="1296"/>
      <c r="R26" s="1296"/>
      <c r="S26" s="1296"/>
      <c r="T26" s="1296"/>
      <c r="U26" s="1296"/>
      <c r="V26" s="1297"/>
      <c r="W26" s="1287" t="s">
        <v>293</v>
      </c>
      <c r="X26" s="1288"/>
      <c r="Y26" s="1288"/>
      <c r="Z26" s="1288"/>
      <c r="AA26" s="1288"/>
      <c r="AB26" s="1288"/>
      <c r="AC26" s="1288"/>
      <c r="AD26" s="1288"/>
      <c r="AE26" s="1289"/>
      <c r="AF26" s="429"/>
      <c r="AG26" s="429"/>
      <c r="AH26" s="429"/>
      <c r="AI26" s="429"/>
      <c r="AJ26" s="429"/>
      <c r="AK26" s="429"/>
      <c r="AL26" s="429"/>
      <c r="AM26" s="429"/>
      <c r="AN26" s="429"/>
      <c r="AO26" s="429"/>
      <c r="AP26" s="429"/>
      <c r="AQ26" s="430"/>
      <c r="AR26" s="443"/>
      <c r="AS26" s="431"/>
    </row>
    <row r="27" spans="1:68" ht="12" customHeight="1">
      <c r="A27" s="433"/>
      <c r="B27" s="1290"/>
      <c r="C27" s="1264"/>
      <c r="D27" s="1264"/>
      <c r="E27" s="1264"/>
      <c r="F27" s="1264"/>
      <c r="G27" s="1264"/>
      <c r="H27" s="1264"/>
      <c r="I27" s="1264"/>
      <c r="J27" s="1291"/>
      <c r="K27" s="1298"/>
      <c r="L27" s="1299"/>
      <c r="M27" s="1299"/>
      <c r="N27" s="1299"/>
      <c r="O27" s="1299"/>
      <c r="P27" s="1299"/>
      <c r="Q27" s="1299"/>
      <c r="R27" s="1299"/>
      <c r="S27" s="1299"/>
      <c r="T27" s="1299"/>
      <c r="U27" s="1299"/>
      <c r="V27" s="1300"/>
      <c r="W27" s="1290"/>
      <c r="X27" s="1264"/>
      <c r="Y27" s="1264"/>
      <c r="Z27" s="1264"/>
      <c r="AA27" s="1264"/>
      <c r="AB27" s="1264"/>
      <c r="AC27" s="1264"/>
      <c r="AD27" s="1264"/>
      <c r="AE27" s="1291"/>
      <c r="AF27" s="432"/>
      <c r="AG27" s="1272" t="s">
        <v>294</v>
      </c>
      <c r="AH27" s="1272"/>
      <c r="AI27" s="1272"/>
      <c r="AJ27" s="1272"/>
      <c r="AK27" s="1264" t="s">
        <v>295</v>
      </c>
      <c r="AL27" s="1264"/>
      <c r="AM27" s="1272" t="s">
        <v>296</v>
      </c>
      <c r="AN27" s="1272"/>
      <c r="AO27" s="1272"/>
      <c r="AP27" s="1272"/>
      <c r="AQ27" s="434"/>
      <c r="AR27" s="443"/>
      <c r="AS27" s="431"/>
    </row>
    <row r="28" spans="1:68" ht="12" customHeight="1">
      <c r="A28" s="433"/>
      <c r="B28" s="1290"/>
      <c r="C28" s="1264"/>
      <c r="D28" s="1264"/>
      <c r="E28" s="1264"/>
      <c r="F28" s="1264"/>
      <c r="G28" s="1264"/>
      <c r="H28" s="1264"/>
      <c r="I28" s="1264"/>
      <c r="J28" s="1291"/>
      <c r="K28" s="1298"/>
      <c r="L28" s="1299"/>
      <c r="M28" s="1299"/>
      <c r="N28" s="1299"/>
      <c r="O28" s="1299"/>
      <c r="P28" s="1299"/>
      <c r="Q28" s="1299"/>
      <c r="R28" s="1299"/>
      <c r="S28" s="1299"/>
      <c r="T28" s="1299"/>
      <c r="U28" s="1299"/>
      <c r="V28" s="1300"/>
      <c r="W28" s="1290"/>
      <c r="X28" s="1264"/>
      <c r="Y28" s="1264"/>
      <c r="Z28" s="1264"/>
      <c r="AA28" s="1264"/>
      <c r="AB28" s="1264"/>
      <c r="AC28" s="1264"/>
      <c r="AD28" s="1264"/>
      <c r="AE28" s="1291"/>
      <c r="AF28" s="432"/>
      <c r="AG28" s="1272"/>
      <c r="AH28" s="1272"/>
      <c r="AI28" s="1272"/>
      <c r="AJ28" s="1272"/>
      <c r="AK28" s="1264"/>
      <c r="AL28" s="1264"/>
      <c r="AM28" s="1272"/>
      <c r="AN28" s="1272"/>
      <c r="AO28" s="1272"/>
      <c r="AP28" s="1272"/>
      <c r="AQ28" s="434"/>
      <c r="AR28" s="443"/>
      <c r="AS28" s="431"/>
    </row>
    <row r="29" spans="1:68" ht="12" customHeight="1">
      <c r="A29" s="433"/>
      <c r="B29" s="1290"/>
      <c r="C29" s="1264"/>
      <c r="D29" s="1264"/>
      <c r="E29" s="1264"/>
      <c r="F29" s="1264"/>
      <c r="G29" s="1264"/>
      <c r="H29" s="1264"/>
      <c r="I29" s="1264"/>
      <c r="J29" s="1291"/>
      <c r="K29" s="1298"/>
      <c r="L29" s="1299"/>
      <c r="M29" s="1299"/>
      <c r="N29" s="1299"/>
      <c r="O29" s="1299"/>
      <c r="P29" s="1299"/>
      <c r="Q29" s="1299"/>
      <c r="R29" s="1299"/>
      <c r="S29" s="1299"/>
      <c r="T29" s="1299"/>
      <c r="U29" s="1299"/>
      <c r="V29" s="1300"/>
      <c r="W29" s="1290"/>
      <c r="X29" s="1264"/>
      <c r="Y29" s="1264"/>
      <c r="Z29" s="1264"/>
      <c r="AA29" s="1264"/>
      <c r="AB29" s="1264"/>
      <c r="AC29" s="1264"/>
      <c r="AD29" s="1264"/>
      <c r="AE29" s="1291"/>
      <c r="AF29" s="432"/>
      <c r="AG29" s="1272"/>
      <c r="AH29" s="1272"/>
      <c r="AI29" s="1272"/>
      <c r="AJ29" s="1272"/>
      <c r="AK29" s="1264"/>
      <c r="AL29" s="1264"/>
      <c r="AM29" s="1272"/>
      <c r="AN29" s="1272"/>
      <c r="AO29" s="1272"/>
      <c r="AP29" s="1272"/>
      <c r="AQ29" s="434"/>
      <c r="AR29" s="443"/>
      <c r="AS29" s="431"/>
    </row>
    <row r="30" spans="1:68" ht="12" customHeight="1">
      <c r="A30" s="433"/>
      <c r="B30" s="1292"/>
      <c r="C30" s="1293"/>
      <c r="D30" s="1293"/>
      <c r="E30" s="1293"/>
      <c r="F30" s="1293"/>
      <c r="G30" s="1293"/>
      <c r="H30" s="1293"/>
      <c r="I30" s="1293"/>
      <c r="J30" s="1294"/>
      <c r="K30" s="1301"/>
      <c r="L30" s="1302"/>
      <c r="M30" s="1302"/>
      <c r="N30" s="1302"/>
      <c r="O30" s="1302"/>
      <c r="P30" s="1302"/>
      <c r="Q30" s="1302"/>
      <c r="R30" s="1302"/>
      <c r="S30" s="1302"/>
      <c r="T30" s="1302"/>
      <c r="U30" s="1302"/>
      <c r="V30" s="1303"/>
      <c r="W30" s="1292"/>
      <c r="X30" s="1293"/>
      <c r="Y30" s="1293"/>
      <c r="Z30" s="1293"/>
      <c r="AA30" s="1293"/>
      <c r="AB30" s="1293"/>
      <c r="AC30" s="1293"/>
      <c r="AD30" s="1293"/>
      <c r="AE30" s="1294"/>
      <c r="AF30" s="451"/>
      <c r="AG30" s="451"/>
      <c r="AH30" s="451"/>
      <c r="AI30" s="451"/>
      <c r="AJ30" s="451"/>
      <c r="AK30" s="451"/>
      <c r="AL30" s="451"/>
      <c r="AM30" s="451"/>
      <c r="AN30" s="451"/>
      <c r="AO30" s="451"/>
      <c r="AP30" s="451"/>
      <c r="AQ30" s="452"/>
      <c r="AR30" s="443"/>
      <c r="AS30" s="431"/>
    </row>
    <row r="31" spans="1:68" ht="12" customHeight="1">
      <c r="A31" s="433"/>
      <c r="B31" s="432"/>
      <c r="C31" s="432"/>
      <c r="D31" s="432"/>
      <c r="E31" s="432"/>
      <c r="F31" s="432"/>
      <c r="G31" s="432"/>
      <c r="H31" s="432"/>
      <c r="I31" s="432"/>
      <c r="J31" s="432"/>
      <c r="K31" s="432"/>
      <c r="L31" s="432"/>
      <c r="M31" s="432"/>
      <c r="N31" s="432"/>
      <c r="O31" s="432"/>
      <c r="P31" s="432"/>
      <c r="Q31" s="432"/>
      <c r="R31" s="432"/>
      <c r="S31" s="432"/>
      <c r="T31" s="432"/>
      <c r="U31" s="432"/>
      <c r="V31" s="432"/>
      <c r="W31" s="432"/>
      <c r="X31" s="432"/>
      <c r="Y31" s="432"/>
      <c r="Z31" s="432"/>
      <c r="AA31" s="432"/>
      <c r="AB31" s="432"/>
      <c r="AC31" s="432"/>
      <c r="AD31" s="432"/>
      <c r="AE31" s="432"/>
      <c r="AF31" s="432"/>
      <c r="AG31" s="432"/>
      <c r="AH31" s="432"/>
      <c r="AI31" s="432"/>
      <c r="AJ31" s="432"/>
      <c r="AK31" s="432"/>
      <c r="AL31" s="432"/>
      <c r="AM31" s="432"/>
      <c r="AN31" s="432"/>
      <c r="AO31" s="432"/>
      <c r="AP31" s="432"/>
      <c r="AQ31" s="432"/>
      <c r="AR31" s="434"/>
      <c r="AS31" s="431"/>
    </row>
    <row r="32" spans="1:68" ht="12" customHeight="1">
      <c r="A32" s="433"/>
      <c r="B32" s="1278" t="s">
        <v>297</v>
      </c>
      <c r="C32" s="1264"/>
      <c r="D32" s="1264"/>
      <c r="E32" s="1264"/>
      <c r="F32" s="1264"/>
      <c r="G32" s="1264"/>
      <c r="H32" s="1264"/>
      <c r="I32" s="1264"/>
      <c r="J32" s="1272"/>
      <c r="K32" s="1272"/>
      <c r="L32" s="1272"/>
      <c r="M32" s="1272"/>
      <c r="N32" s="1273" t="s">
        <v>8</v>
      </c>
      <c r="O32" s="1272"/>
      <c r="P32" s="1272"/>
      <c r="Q32" s="1272"/>
      <c r="R32" s="1273" t="s">
        <v>284</v>
      </c>
      <c r="S32" s="1272"/>
      <c r="T32" s="1272"/>
      <c r="U32" s="1272"/>
      <c r="V32" s="1273" t="s">
        <v>269</v>
      </c>
      <c r="W32" s="1278" t="s">
        <v>298</v>
      </c>
      <c r="X32" s="1264"/>
      <c r="Y32" s="1264"/>
      <c r="Z32" s="1264"/>
      <c r="AA32" s="1264"/>
      <c r="AB32" s="1264"/>
      <c r="AC32" s="1264"/>
      <c r="AD32" s="1264"/>
      <c r="AE32" s="1272"/>
      <c r="AF32" s="1272"/>
      <c r="AG32" s="1272"/>
      <c r="AH32" s="1272"/>
      <c r="AI32" s="1273" t="s">
        <v>8</v>
      </c>
      <c r="AJ32" s="1272"/>
      <c r="AK32" s="1272"/>
      <c r="AL32" s="1272"/>
      <c r="AM32" s="1273" t="s">
        <v>284</v>
      </c>
      <c r="AN32" s="1272"/>
      <c r="AO32" s="1272"/>
      <c r="AP32" s="1272"/>
      <c r="AQ32" s="1273" t="s">
        <v>269</v>
      </c>
      <c r="AR32" s="434"/>
      <c r="AS32" s="431"/>
      <c r="BD32" s="453"/>
      <c r="BE32" s="453"/>
      <c r="BF32" s="453"/>
      <c r="BG32" s="453"/>
      <c r="BH32" s="453"/>
      <c r="BI32" s="453"/>
      <c r="BJ32" s="453"/>
      <c r="BK32" s="453"/>
      <c r="BL32" s="453"/>
      <c r="BM32" s="453"/>
      <c r="BN32" s="453"/>
      <c r="BO32" s="453"/>
      <c r="BP32" s="453"/>
    </row>
    <row r="33" spans="1:68" ht="12" customHeight="1">
      <c r="A33" s="433"/>
      <c r="B33" s="1264"/>
      <c r="C33" s="1264"/>
      <c r="D33" s="1264"/>
      <c r="E33" s="1264"/>
      <c r="F33" s="1264"/>
      <c r="G33" s="1264"/>
      <c r="H33" s="1264"/>
      <c r="I33" s="1264"/>
      <c r="J33" s="1272"/>
      <c r="K33" s="1272"/>
      <c r="L33" s="1272"/>
      <c r="M33" s="1272"/>
      <c r="N33" s="1273"/>
      <c r="O33" s="1272"/>
      <c r="P33" s="1272"/>
      <c r="Q33" s="1272"/>
      <c r="R33" s="1273"/>
      <c r="S33" s="1272"/>
      <c r="T33" s="1272"/>
      <c r="U33" s="1272"/>
      <c r="V33" s="1273"/>
      <c r="W33" s="1264"/>
      <c r="X33" s="1264"/>
      <c r="Y33" s="1264"/>
      <c r="Z33" s="1264"/>
      <c r="AA33" s="1264"/>
      <c r="AB33" s="1264"/>
      <c r="AC33" s="1264"/>
      <c r="AD33" s="1264"/>
      <c r="AE33" s="1272"/>
      <c r="AF33" s="1272"/>
      <c r="AG33" s="1272"/>
      <c r="AH33" s="1272"/>
      <c r="AI33" s="1273"/>
      <c r="AJ33" s="1272"/>
      <c r="AK33" s="1272"/>
      <c r="AL33" s="1272"/>
      <c r="AM33" s="1273"/>
      <c r="AN33" s="1272"/>
      <c r="AO33" s="1272"/>
      <c r="AP33" s="1272"/>
      <c r="AQ33" s="1273"/>
      <c r="AR33" s="434"/>
      <c r="AS33" s="431"/>
      <c r="BD33" s="453"/>
      <c r="BE33" s="453"/>
      <c r="BF33" s="453"/>
      <c r="BG33" s="453"/>
      <c r="BH33" s="453"/>
      <c r="BI33" s="453"/>
      <c r="BJ33" s="453"/>
      <c r="BK33" s="453"/>
      <c r="BL33" s="453"/>
      <c r="BM33" s="453"/>
      <c r="BN33" s="453"/>
      <c r="BO33" s="453"/>
      <c r="BP33" s="453"/>
    </row>
    <row r="34" spans="1:68" ht="12" customHeight="1">
      <c r="A34" s="433"/>
      <c r="B34" s="449"/>
      <c r="C34" s="449"/>
      <c r="D34" s="449"/>
      <c r="E34" s="449"/>
      <c r="F34" s="449"/>
      <c r="G34" s="449"/>
      <c r="H34" s="449"/>
      <c r="I34" s="449"/>
      <c r="J34" s="455"/>
      <c r="K34" s="455"/>
      <c r="L34" s="455"/>
      <c r="M34" s="455"/>
      <c r="N34" s="456"/>
      <c r="O34" s="455"/>
      <c r="P34" s="455"/>
      <c r="Q34" s="455"/>
      <c r="R34" s="456"/>
      <c r="S34" s="455"/>
      <c r="T34" s="455"/>
      <c r="U34" s="455"/>
      <c r="V34" s="454"/>
      <c r="W34" s="449"/>
      <c r="X34" s="449"/>
      <c r="Y34" s="449"/>
      <c r="Z34" s="449"/>
      <c r="AA34" s="449"/>
      <c r="AB34" s="449"/>
      <c r="AC34" s="449"/>
      <c r="AD34" s="449"/>
      <c r="AE34" s="453"/>
      <c r="AF34" s="453"/>
      <c r="AG34" s="453"/>
      <c r="AH34" s="453"/>
      <c r="AI34" s="453"/>
      <c r="AJ34" s="453"/>
      <c r="AK34" s="453"/>
      <c r="AL34" s="453"/>
      <c r="AM34" s="453"/>
      <c r="AN34" s="453"/>
      <c r="AO34" s="453"/>
      <c r="AP34" s="453"/>
      <c r="AQ34" s="453"/>
      <c r="AR34" s="434"/>
      <c r="AS34" s="431"/>
    </row>
    <row r="35" spans="1:68" ht="12" customHeight="1">
      <c r="A35" s="433"/>
      <c r="B35" s="1278"/>
      <c r="C35" s="1264"/>
      <c r="D35" s="1264"/>
      <c r="E35" s="1264"/>
      <c r="F35" s="1264"/>
      <c r="G35" s="1264"/>
      <c r="H35" s="1264"/>
      <c r="I35" s="1264"/>
      <c r="J35" s="1272"/>
      <c r="K35" s="1272"/>
      <c r="L35" s="1272"/>
      <c r="M35" s="1272"/>
      <c r="N35" s="1273" t="s">
        <v>8</v>
      </c>
      <c r="O35" s="1272"/>
      <c r="P35" s="1272"/>
      <c r="Q35" s="1272"/>
      <c r="R35" s="1273" t="s">
        <v>284</v>
      </c>
      <c r="S35" s="1272"/>
      <c r="T35" s="1272"/>
      <c r="U35" s="1272"/>
      <c r="V35" s="1273" t="s">
        <v>269</v>
      </c>
      <c r="W35" s="1278"/>
      <c r="X35" s="1264"/>
      <c r="Y35" s="1264"/>
      <c r="Z35" s="1264"/>
      <c r="AA35" s="1264"/>
      <c r="AB35" s="1264"/>
      <c r="AC35" s="1264"/>
      <c r="AD35" s="1264"/>
      <c r="AE35" s="1272"/>
      <c r="AF35" s="1272"/>
      <c r="AG35" s="1272"/>
      <c r="AH35" s="1272"/>
      <c r="AI35" s="1273" t="s">
        <v>8</v>
      </c>
      <c r="AJ35" s="1272"/>
      <c r="AK35" s="1272"/>
      <c r="AL35" s="1272"/>
      <c r="AM35" s="1273" t="s">
        <v>284</v>
      </c>
      <c r="AN35" s="1272"/>
      <c r="AO35" s="1272"/>
      <c r="AP35" s="1272"/>
      <c r="AQ35" s="1273" t="s">
        <v>269</v>
      </c>
      <c r="AR35" s="434"/>
      <c r="AS35" s="431"/>
    </row>
    <row r="36" spans="1:68" ht="12" customHeight="1">
      <c r="A36" s="433"/>
      <c r="B36" s="1264"/>
      <c r="C36" s="1264"/>
      <c r="D36" s="1264"/>
      <c r="E36" s="1264"/>
      <c r="F36" s="1264"/>
      <c r="G36" s="1264"/>
      <c r="H36" s="1264"/>
      <c r="I36" s="1264"/>
      <c r="J36" s="1272"/>
      <c r="K36" s="1272"/>
      <c r="L36" s="1272"/>
      <c r="M36" s="1272"/>
      <c r="N36" s="1273"/>
      <c r="O36" s="1272"/>
      <c r="P36" s="1272"/>
      <c r="Q36" s="1272"/>
      <c r="R36" s="1273"/>
      <c r="S36" s="1272"/>
      <c r="T36" s="1272"/>
      <c r="U36" s="1272"/>
      <c r="V36" s="1273"/>
      <c r="W36" s="1264"/>
      <c r="X36" s="1264"/>
      <c r="Y36" s="1264"/>
      <c r="Z36" s="1264"/>
      <c r="AA36" s="1264"/>
      <c r="AB36" s="1264"/>
      <c r="AC36" s="1264"/>
      <c r="AD36" s="1264"/>
      <c r="AE36" s="1272"/>
      <c r="AF36" s="1272"/>
      <c r="AG36" s="1272"/>
      <c r="AH36" s="1272"/>
      <c r="AI36" s="1273"/>
      <c r="AJ36" s="1272"/>
      <c r="AK36" s="1272"/>
      <c r="AL36" s="1272"/>
      <c r="AM36" s="1273"/>
      <c r="AN36" s="1272"/>
      <c r="AO36" s="1272"/>
      <c r="AP36" s="1272"/>
      <c r="AQ36" s="1273"/>
      <c r="AR36" s="434"/>
      <c r="AS36" s="431"/>
    </row>
    <row r="37" spans="1:68" ht="12" customHeight="1">
      <c r="A37" s="433"/>
      <c r="B37" s="449"/>
      <c r="C37" s="449"/>
      <c r="D37" s="449"/>
      <c r="E37" s="449"/>
      <c r="F37" s="449"/>
      <c r="G37" s="449"/>
      <c r="H37" s="449"/>
      <c r="I37" s="449"/>
      <c r="J37" s="453"/>
      <c r="K37" s="453"/>
      <c r="L37" s="453"/>
      <c r="M37" s="453"/>
      <c r="N37" s="453"/>
      <c r="O37" s="453"/>
      <c r="P37" s="453"/>
      <c r="Q37" s="453"/>
      <c r="R37" s="453"/>
      <c r="S37" s="453"/>
      <c r="T37" s="453"/>
      <c r="U37" s="453"/>
      <c r="V37" s="453"/>
      <c r="W37" s="449"/>
      <c r="X37" s="449"/>
      <c r="Y37" s="449"/>
      <c r="Z37" s="449"/>
      <c r="AA37" s="449"/>
      <c r="AB37" s="449"/>
      <c r="AC37" s="449"/>
      <c r="AD37" s="449"/>
      <c r="AE37" s="453"/>
      <c r="AF37" s="453"/>
      <c r="AG37" s="453"/>
      <c r="AH37" s="453"/>
      <c r="AI37" s="453"/>
      <c r="AJ37" s="453"/>
      <c r="AK37" s="453"/>
      <c r="AL37" s="453"/>
      <c r="AM37" s="453"/>
      <c r="AN37" s="453"/>
      <c r="AO37" s="453"/>
      <c r="AP37" s="453"/>
      <c r="AQ37" s="453"/>
      <c r="AR37" s="434"/>
      <c r="AS37" s="431"/>
    </row>
    <row r="38" spans="1:68" ht="12" customHeight="1">
      <c r="A38" s="433"/>
      <c r="B38" s="1278"/>
      <c r="C38" s="1264"/>
      <c r="D38" s="1264"/>
      <c r="E38" s="1264"/>
      <c r="F38" s="1264"/>
      <c r="G38" s="1264"/>
      <c r="H38" s="1264"/>
      <c r="I38" s="1264"/>
      <c r="J38" s="1272"/>
      <c r="K38" s="1272"/>
      <c r="L38" s="1272"/>
      <c r="M38" s="1272"/>
      <c r="N38" s="1273" t="s">
        <v>8</v>
      </c>
      <c r="O38" s="1272"/>
      <c r="P38" s="1272"/>
      <c r="Q38" s="1272"/>
      <c r="R38" s="1273" t="s">
        <v>284</v>
      </c>
      <c r="S38" s="1272"/>
      <c r="T38" s="1272"/>
      <c r="U38" s="1272"/>
      <c r="V38" s="1273" t="s">
        <v>269</v>
      </c>
      <c r="W38" s="1278"/>
      <c r="X38" s="1264"/>
      <c r="Y38" s="1264"/>
      <c r="Z38" s="1264"/>
      <c r="AA38" s="1264"/>
      <c r="AB38" s="1264"/>
      <c r="AC38" s="1264"/>
      <c r="AD38" s="1264"/>
      <c r="AE38" s="1272"/>
      <c r="AF38" s="1272"/>
      <c r="AG38" s="1272"/>
      <c r="AH38" s="1272"/>
      <c r="AI38" s="1273" t="s">
        <v>8</v>
      </c>
      <c r="AJ38" s="1272"/>
      <c r="AK38" s="1272"/>
      <c r="AL38" s="1272"/>
      <c r="AM38" s="1273" t="s">
        <v>284</v>
      </c>
      <c r="AN38" s="1272"/>
      <c r="AO38" s="1272"/>
      <c r="AP38" s="1272"/>
      <c r="AQ38" s="1273" t="s">
        <v>269</v>
      </c>
      <c r="AR38" s="434"/>
      <c r="AS38" s="431"/>
    </row>
    <row r="39" spans="1:68" ht="12" customHeight="1">
      <c r="A39" s="433"/>
      <c r="B39" s="1264"/>
      <c r="C39" s="1264"/>
      <c r="D39" s="1264"/>
      <c r="E39" s="1264"/>
      <c r="F39" s="1264"/>
      <c r="G39" s="1264"/>
      <c r="H39" s="1264"/>
      <c r="I39" s="1264"/>
      <c r="J39" s="1272"/>
      <c r="K39" s="1272"/>
      <c r="L39" s="1272"/>
      <c r="M39" s="1272"/>
      <c r="N39" s="1273"/>
      <c r="O39" s="1272"/>
      <c r="P39" s="1272"/>
      <c r="Q39" s="1272"/>
      <c r="R39" s="1273"/>
      <c r="S39" s="1272"/>
      <c r="T39" s="1272"/>
      <c r="U39" s="1272"/>
      <c r="V39" s="1273"/>
      <c r="W39" s="1264"/>
      <c r="X39" s="1264"/>
      <c r="Y39" s="1264"/>
      <c r="Z39" s="1264"/>
      <c r="AA39" s="1264"/>
      <c r="AB39" s="1264"/>
      <c r="AC39" s="1264"/>
      <c r="AD39" s="1264"/>
      <c r="AE39" s="1272"/>
      <c r="AF39" s="1272"/>
      <c r="AG39" s="1272"/>
      <c r="AH39" s="1272"/>
      <c r="AI39" s="1273"/>
      <c r="AJ39" s="1272"/>
      <c r="AK39" s="1272"/>
      <c r="AL39" s="1272"/>
      <c r="AM39" s="1273"/>
      <c r="AN39" s="1272"/>
      <c r="AO39" s="1272"/>
      <c r="AP39" s="1272"/>
      <c r="AQ39" s="1273"/>
      <c r="AR39" s="434"/>
      <c r="AS39" s="431"/>
    </row>
    <row r="40" spans="1:68" ht="12" customHeight="1">
      <c r="A40" s="433"/>
      <c r="B40" s="432"/>
      <c r="C40" s="432"/>
      <c r="D40" s="432"/>
      <c r="E40" s="432"/>
      <c r="F40" s="432"/>
      <c r="G40" s="432"/>
      <c r="H40" s="432"/>
      <c r="I40" s="432"/>
      <c r="J40" s="432"/>
      <c r="K40" s="432"/>
      <c r="L40" s="432"/>
      <c r="M40" s="432"/>
      <c r="N40" s="432"/>
      <c r="O40" s="432"/>
      <c r="P40" s="432"/>
      <c r="Q40" s="432"/>
      <c r="R40" s="432"/>
      <c r="S40" s="432"/>
      <c r="T40" s="432"/>
      <c r="U40" s="432"/>
      <c r="V40" s="432"/>
      <c r="W40" s="432"/>
      <c r="X40" s="432"/>
      <c r="Y40" s="432"/>
      <c r="Z40" s="432"/>
      <c r="AA40" s="432"/>
      <c r="AB40" s="432"/>
      <c r="AC40" s="432"/>
      <c r="AD40" s="432"/>
      <c r="AE40" s="432"/>
      <c r="AF40" s="432"/>
      <c r="AG40" s="432"/>
      <c r="AH40" s="432"/>
      <c r="AI40" s="432"/>
      <c r="AJ40" s="432"/>
      <c r="AK40" s="432"/>
      <c r="AL40" s="432"/>
      <c r="AM40" s="432"/>
      <c r="AN40" s="432"/>
      <c r="AO40" s="432"/>
      <c r="AP40" s="432"/>
      <c r="AQ40" s="432"/>
      <c r="AR40" s="434"/>
      <c r="AS40" s="431"/>
      <c r="AT40" s="432"/>
    </row>
    <row r="41" spans="1:68" ht="12" customHeight="1">
      <c r="A41" s="433"/>
      <c r="B41" s="432"/>
      <c r="C41" s="432"/>
      <c r="D41" s="432"/>
      <c r="E41" s="432"/>
      <c r="F41" s="432"/>
      <c r="G41" s="432"/>
      <c r="H41" s="432"/>
      <c r="I41" s="432"/>
      <c r="J41" s="432"/>
      <c r="K41" s="432"/>
      <c r="L41" s="432"/>
      <c r="M41" s="432"/>
      <c r="N41" s="432"/>
      <c r="O41" s="432"/>
      <c r="P41" s="432"/>
      <c r="Q41" s="432"/>
      <c r="R41" s="432"/>
      <c r="S41" s="432"/>
      <c r="T41" s="432"/>
      <c r="U41" s="432"/>
      <c r="V41" s="432"/>
      <c r="W41" s="432"/>
      <c r="X41" s="432"/>
      <c r="Y41" s="432"/>
      <c r="Z41" s="432"/>
      <c r="AA41" s="432"/>
      <c r="AB41" s="432"/>
      <c r="AC41" s="432"/>
      <c r="AD41" s="432"/>
      <c r="AE41" s="432"/>
      <c r="AF41" s="432"/>
      <c r="AG41" s="432"/>
      <c r="AH41" s="432"/>
      <c r="AI41" s="432"/>
      <c r="AJ41" s="432"/>
      <c r="AK41" s="432"/>
      <c r="AL41" s="432"/>
      <c r="AM41" s="432"/>
      <c r="AN41" s="432"/>
      <c r="AO41" s="432"/>
      <c r="AP41" s="432"/>
      <c r="AQ41" s="432"/>
      <c r="AR41" s="434"/>
      <c r="AS41" s="431"/>
      <c r="AT41" s="432"/>
    </row>
    <row r="42" spans="1:68" ht="12" customHeight="1">
      <c r="A42" s="433"/>
      <c r="B42" s="432" t="s">
        <v>299</v>
      </c>
      <c r="C42" s="432"/>
      <c r="D42" s="453"/>
      <c r="E42" s="453"/>
      <c r="F42" s="453"/>
      <c r="G42" s="453"/>
      <c r="H42" s="453"/>
      <c r="I42" s="453"/>
      <c r="J42" s="453"/>
      <c r="K42" s="453"/>
      <c r="L42" s="453"/>
      <c r="M42" s="453"/>
      <c r="N42" s="453"/>
      <c r="O42" s="453"/>
      <c r="P42" s="453"/>
      <c r="Q42" s="453"/>
      <c r="R42" s="453"/>
      <c r="S42" s="453"/>
      <c r="T42" s="453"/>
      <c r="U42" s="453"/>
      <c r="V42" s="453"/>
      <c r="W42" s="453"/>
      <c r="X42" s="453"/>
      <c r="Y42" s="453"/>
      <c r="Z42" s="453"/>
      <c r="AA42" s="453"/>
      <c r="AB42" s="453"/>
      <c r="AC42" s="453"/>
      <c r="AD42" s="453"/>
      <c r="AE42" s="453"/>
      <c r="AF42" s="432"/>
      <c r="AG42" s="432"/>
      <c r="AH42" s="432"/>
      <c r="AI42" s="432"/>
      <c r="AJ42" s="432"/>
      <c r="AK42" s="432"/>
      <c r="AL42" s="432"/>
      <c r="AM42" s="432"/>
      <c r="AN42" s="432"/>
      <c r="AO42" s="432"/>
      <c r="AP42" s="432"/>
      <c r="AQ42" s="432"/>
      <c r="AR42" s="434"/>
      <c r="AS42" s="431"/>
      <c r="AT42" s="432"/>
    </row>
    <row r="43" spans="1:68" ht="12" customHeight="1">
      <c r="A43" s="433"/>
      <c r="B43" s="432"/>
      <c r="C43" s="432"/>
      <c r="D43" s="453"/>
      <c r="E43" s="453"/>
      <c r="F43" s="453"/>
      <c r="G43" s="453"/>
      <c r="H43" s="453"/>
      <c r="I43" s="453"/>
      <c r="J43" s="453"/>
      <c r="K43" s="453"/>
      <c r="L43" s="453"/>
      <c r="M43" s="453"/>
      <c r="N43" s="453"/>
      <c r="O43" s="453"/>
      <c r="P43" s="453"/>
      <c r="Q43" s="453"/>
      <c r="R43" s="453"/>
      <c r="S43" s="453"/>
      <c r="T43" s="453"/>
      <c r="U43" s="453"/>
      <c r="V43" s="453"/>
      <c r="W43" s="453"/>
      <c r="X43" s="453"/>
      <c r="Y43" s="453"/>
      <c r="Z43" s="453"/>
      <c r="AA43" s="453"/>
      <c r="AB43" s="453"/>
      <c r="AC43" s="453"/>
      <c r="AD43" s="453"/>
      <c r="AE43" s="453"/>
      <c r="AF43" s="432"/>
      <c r="AG43" s="432"/>
      <c r="AH43" s="432"/>
      <c r="AI43" s="432"/>
      <c r="AJ43" s="432"/>
      <c r="AK43" s="432"/>
      <c r="AL43" s="432"/>
      <c r="AM43" s="432"/>
      <c r="AN43" s="432"/>
      <c r="AO43" s="432"/>
      <c r="AP43" s="432"/>
      <c r="AQ43" s="432"/>
      <c r="AR43" s="434"/>
      <c r="AS43" s="431"/>
      <c r="AT43" s="432"/>
    </row>
    <row r="44" spans="1:68" ht="12" customHeight="1">
      <c r="A44" s="433"/>
      <c r="B44" s="432"/>
      <c r="C44" s="432"/>
      <c r="D44" s="432"/>
      <c r="E44" s="432"/>
      <c r="F44" s="432"/>
      <c r="G44" s="432"/>
      <c r="H44" s="432"/>
      <c r="I44" s="432"/>
      <c r="J44" s="432"/>
      <c r="K44" s="432"/>
      <c r="L44" s="432"/>
      <c r="M44" s="432"/>
      <c r="N44" s="432"/>
      <c r="O44" s="432"/>
      <c r="P44" s="432"/>
      <c r="Q44" s="432"/>
      <c r="R44" s="432"/>
      <c r="S44" s="432"/>
      <c r="T44" s="432"/>
      <c r="U44" s="432"/>
      <c r="V44" s="432"/>
      <c r="W44" s="432"/>
      <c r="X44" s="432"/>
      <c r="Y44" s="1274" t="s">
        <v>300</v>
      </c>
      <c r="Z44" s="1274"/>
      <c r="AA44" s="1274"/>
      <c r="AB44" s="432"/>
      <c r="AC44" s="432"/>
      <c r="AD44" s="432"/>
      <c r="AE44" s="432" t="s">
        <v>8</v>
      </c>
      <c r="AF44" s="432"/>
      <c r="AG44" s="432"/>
      <c r="AH44" s="432"/>
      <c r="AI44" s="432" t="s">
        <v>301</v>
      </c>
      <c r="AJ44" s="432"/>
      <c r="AK44" s="432"/>
      <c r="AL44" s="432"/>
      <c r="AM44" s="432" t="s">
        <v>285</v>
      </c>
      <c r="AN44" s="432"/>
      <c r="AO44" s="432"/>
      <c r="AP44" s="432"/>
      <c r="AQ44" s="432"/>
      <c r="AR44" s="434"/>
      <c r="AS44" s="431"/>
      <c r="AT44" s="432"/>
    </row>
    <row r="45" spans="1:68" ht="12" customHeight="1">
      <c r="A45" s="433"/>
      <c r="B45" s="432"/>
      <c r="C45" s="432"/>
      <c r="D45" s="432"/>
      <c r="E45" s="432"/>
      <c r="F45" s="432"/>
      <c r="G45" s="432"/>
      <c r="H45" s="432"/>
      <c r="I45" s="432"/>
      <c r="J45" s="432"/>
      <c r="K45" s="432"/>
      <c r="L45" s="432"/>
      <c r="M45" s="432"/>
      <c r="N45" s="432"/>
      <c r="O45" s="432"/>
      <c r="P45" s="432"/>
      <c r="Q45" s="432"/>
      <c r="R45" s="432"/>
      <c r="S45" s="432"/>
      <c r="T45" s="432"/>
      <c r="U45" s="432"/>
      <c r="V45" s="432"/>
      <c r="W45" s="432"/>
      <c r="X45" s="432"/>
      <c r="Y45" s="453"/>
      <c r="Z45" s="453"/>
      <c r="AA45" s="453"/>
      <c r="AB45" s="432"/>
      <c r="AC45" s="432"/>
      <c r="AD45" s="432"/>
      <c r="AE45" s="432"/>
      <c r="AF45" s="432"/>
      <c r="AG45" s="432"/>
      <c r="AH45" s="432"/>
      <c r="AI45" s="432"/>
      <c r="AJ45" s="432"/>
      <c r="AK45" s="432"/>
      <c r="AL45" s="432"/>
      <c r="AM45" s="432"/>
      <c r="AN45" s="432"/>
      <c r="AO45" s="432"/>
      <c r="AP45" s="432"/>
      <c r="AQ45" s="432"/>
      <c r="AR45" s="434"/>
      <c r="AS45" s="431"/>
      <c r="AT45" s="432"/>
    </row>
    <row r="46" spans="1:68" ht="12" customHeight="1">
      <c r="A46" s="433"/>
      <c r="B46" s="432"/>
      <c r="C46" s="432"/>
      <c r="D46" s="432"/>
      <c r="E46" s="432"/>
      <c r="F46" s="432"/>
      <c r="G46" s="432"/>
      <c r="H46" s="432"/>
      <c r="I46" s="432"/>
      <c r="J46" s="432"/>
      <c r="K46" s="432"/>
      <c r="L46" s="432"/>
      <c r="M46" s="432"/>
      <c r="N46" s="432"/>
      <c r="O46" s="432"/>
      <c r="P46" s="432"/>
      <c r="Q46" s="432"/>
      <c r="R46" s="432"/>
      <c r="S46" s="432"/>
      <c r="T46" s="432"/>
      <c r="U46" s="432"/>
      <c r="V46" s="432"/>
      <c r="W46" s="432"/>
      <c r="X46" s="432"/>
      <c r="Y46" s="453"/>
      <c r="Z46" s="453"/>
      <c r="AA46" s="453"/>
      <c r="AB46" s="432"/>
      <c r="AC46" s="432"/>
      <c r="AD46" s="432"/>
      <c r="AE46" s="432"/>
      <c r="AF46" s="432"/>
      <c r="AG46" s="432"/>
      <c r="AH46" s="432"/>
      <c r="AI46" s="432"/>
      <c r="AJ46" s="432"/>
      <c r="AK46" s="432"/>
      <c r="AL46" s="432"/>
      <c r="AM46" s="432"/>
      <c r="AN46" s="432"/>
      <c r="AO46" s="432"/>
      <c r="AP46" s="432"/>
      <c r="AQ46" s="432"/>
      <c r="AR46" s="434"/>
      <c r="AS46" s="431"/>
      <c r="AT46" s="432"/>
    </row>
    <row r="47" spans="1:68" ht="3.75" customHeight="1">
      <c r="A47" s="433"/>
      <c r="B47" s="1264" t="s">
        <v>302</v>
      </c>
      <c r="C47" s="1264"/>
      <c r="D47" s="1264"/>
      <c r="E47" s="1264"/>
      <c r="F47" s="1260" t="s">
        <v>303</v>
      </c>
      <c r="G47" s="1275"/>
      <c r="H47" s="1275"/>
      <c r="I47" s="1275"/>
      <c r="J47" s="1275"/>
      <c r="K47" s="1275"/>
      <c r="L47" s="1275"/>
      <c r="M47" s="1275"/>
      <c r="N47" s="1276"/>
      <c r="O47" s="457"/>
      <c r="P47" s="458"/>
      <c r="Q47" s="458"/>
      <c r="R47" s="458"/>
      <c r="S47" s="458"/>
      <c r="T47" s="458"/>
      <c r="U47" s="458"/>
      <c r="V47" s="458"/>
      <c r="W47" s="458"/>
      <c r="X47" s="458"/>
      <c r="Y47" s="458"/>
      <c r="Z47" s="458"/>
      <c r="AA47" s="458"/>
      <c r="AB47" s="458"/>
      <c r="AC47" s="458"/>
      <c r="AD47" s="458"/>
      <c r="AE47" s="458"/>
      <c r="AF47" s="458"/>
      <c r="AG47" s="458"/>
      <c r="AH47" s="458"/>
      <c r="AI47" s="458"/>
      <c r="AJ47" s="458"/>
      <c r="AK47" s="458"/>
      <c r="AL47" s="458"/>
      <c r="AM47" s="458"/>
      <c r="AN47" s="458"/>
      <c r="AO47" s="458"/>
      <c r="AP47" s="458"/>
      <c r="AQ47" s="459"/>
      <c r="AR47" s="434"/>
      <c r="AS47" s="431"/>
      <c r="AT47" s="432"/>
    </row>
    <row r="48" spans="1:68" ht="15.75" customHeight="1">
      <c r="A48" s="433"/>
      <c r="B48" s="1264"/>
      <c r="C48" s="1264"/>
      <c r="D48" s="1264"/>
      <c r="E48" s="1264"/>
      <c r="F48" s="1277"/>
      <c r="G48" s="1278"/>
      <c r="H48" s="1278"/>
      <c r="I48" s="1278"/>
      <c r="J48" s="1278"/>
      <c r="K48" s="1278"/>
      <c r="L48" s="1278"/>
      <c r="M48" s="1278"/>
      <c r="N48" s="1279"/>
      <c r="O48" s="460" t="s">
        <v>304</v>
      </c>
      <c r="P48" s="432"/>
      <c r="Q48" s="432"/>
      <c r="R48" s="432"/>
      <c r="S48" s="432"/>
      <c r="T48" s="432"/>
      <c r="U48" s="432"/>
      <c r="V48" s="432"/>
      <c r="W48" s="432"/>
      <c r="X48" s="432"/>
      <c r="Y48" s="432"/>
      <c r="Z48" s="432"/>
      <c r="AA48" s="432"/>
      <c r="AB48" s="432"/>
      <c r="AC48" s="432"/>
      <c r="AD48" s="460" t="s">
        <v>305</v>
      </c>
      <c r="AE48" s="432"/>
      <c r="AF48" s="432"/>
      <c r="AG48" s="432"/>
      <c r="AH48" s="449"/>
      <c r="AI48" s="432"/>
      <c r="AJ48" s="432"/>
      <c r="AK48" s="432"/>
      <c r="AL48" s="432"/>
      <c r="AM48" s="432"/>
      <c r="AN48" s="432"/>
      <c r="AO48" s="449"/>
      <c r="AP48" s="432"/>
      <c r="AQ48" s="461"/>
      <c r="AR48" s="434"/>
      <c r="AS48" s="431"/>
      <c r="AT48" s="432"/>
    </row>
    <row r="49" spans="1:46" ht="15.75" customHeight="1">
      <c r="A49" s="433"/>
      <c r="B49" s="1264"/>
      <c r="C49" s="1264"/>
      <c r="D49" s="1264"/>
      <c r="E49" s="1264"/>
      <c r="F49" s="1277"/>
      <c r="G49" s="1278"/>
      <c r="H49" s="1278"/>
      <c r="I49" s="1278"/>
      <c r="J49" s="1278"/>
      <c r="K49" s="1278"/>
      <c r="L49" s="1278"/>
      <c r="M49" s="1278"/>
      <c r="N49" s="1279"/>
      <c r="O49" s="460"/>
      <c r="P49" s="432"/>
      <c r="Q49" s="432"/>
      <c r="R49" s="432"/>
      <c r="S49" s="432"/>
      <c r="T49" s="432"/>
      <c r="U49" s="432"/>
      <c r="V49" s="432"/>
      <c r="W49" s="432"/>
      <c r="X49" s="432"/>
      <c r="Y49" s="432"/>
      <c r="Z49" s="432"/>
      <c r="AA49" s="432"/>
      <c r="AB49" s="432"/>
      <c r="AC49" s="432"/>
      <c r="AD49" s="462">
        <v>1</v>
      </c>
      <c r="AE49" s="462">
        <v>3</v>
      </c>
      <c r="AF49" s="462">
        <v>1</v>
      </c>
      <c r="AG49" s="462">
        <v>4</v>
      </c>
      <c r="AH49" s="449" t="s">
        <v>306</v>
      </c>
      <c r="AI49" s="462">
        <v>3</v>
      </c>
      <c r="AJ49" s="462">
        <v>0</v>
      </c>
      <c r="AK49" s="462">
        <v>7</v>
      </c>
      <c r="AL49" s="462">
        <v>4</v>
      </c>
      <c r="AM49" s="462">
        <v>9</v>
      </c>
      <c r="AN49" s="462">
        <v>9</v>
      </c>
      <c r="AO49" s="449" t="s">
        <v>306</v>
      </c>
      <c r="AP49" s="462">
        <v>7</v>
      </c>
      <c r="AQ49" s="461"/>
      <c r="AR49" s="434"/>
      <c r="AS49" s="431"/>
      <c r="AT49" s="432"/>
    </row>
    <row r="50" spans="1:46" ht="9" customHeight="1">
      <c r="A50" s="433"/>
      <c r="B50" s="1264"/>
      <c r="C50" s="1264"/>
      <c r="D50" s="1264"/>
      <c r="E50" s="1264"/>
      <c r="F50" s="1277"/>
      <c r="G50" s="1278"/>
      <c r="H50" s="1278"/>
      <c r="I50" s="1278"/>
      <c r="J50" s="1278"/>
      <c r="K50" s="1278"/>
      <c r="L50" s="1278"/>
      <c r="M50" s="1278"/>
      <c r="N50" s="1279"/>
      <c r="O50" s="460"/>
      <c r="P50" s="432"/>
      <c r="Q50" s="432"/>
      <c r="R50" s="432"/>
      <c r="S50" s="432"/>
      <c r="T50" s="432"/>
      <c r="U50" s="432"/>
      <c r="V50" s="432"/>
      <c r="W50" s="432"/>
      <c r="X50" s="432"/>
      <c r="Y50" s="432"/>
      <c r="Z50" s="432"/>
      <c r="AA50" s="432"/>
      <c r="AB50" s="432"/>
      <c r="AC50" s="432"/>
      <c r="AD50" s="432"/>
      <c r="AE50" s="432"/>
      <c r="AF50" s="432"/>
      <c r="AG50" s="432"/>
      <c r="AH50" s="449"/>
      <c r="AI50" s="432"/>
      <c r="AJ50" s="432"/>
      <c r="AK50" s="432"/>
      <c r="AL50" s="432"/>
      <c r="AM50" s="432"/>
      <c r="AN50" s="432"/>
      <c r="AO50" s="449"/>
      <c r="AP50" s="432"/>
      <c r="AQ50" s="461"/>
      <c r="AR50" s="434"/>
      <c r="AS50" s="431"/>
      <c r="AT50" s="432"/>
    </row>
    <row r="51" spans="1:46" ht="12" customHeight="1">
      <c r="A51" s="433"/>
      <c r="B51" s="1264"/>
      <c r="C51" s="1264"/>
      <c r="D51" s="1264"/>
      <c r="E51" s="1264"/>
      <c r="F51" s="1277"/>
      <c r="G51" s="1278"/>
      <c r="H51" s="1278"/>
      <c r="I51" s="1278"/>
      <c r="J51" s="1278"/>
      <c r="K51" s="1278"/>
      <c r="L51" s="1278"/>
      <c r="M51" s="1278"/>
      <c r="N51" s="1279"/>
      <c r="O51" s="1283" t="s">
        <v>307</v>
      </c>
      <c r="P51" s="1284"/>
      <c r="Q51" s="1284"/>
      <c r="R51" s="1284"/>
      <c r="S51" s="463" t="s">
        <v>421</v>
      </c>
      <c r="T51" s="432"/>
      <c r="U51" s="432"/>
      <c r="V51" s="432"/>
      <c r="W51" s="432"/>
      <c r="X51" s="432"/>
      <c r="Y51" s="432"/>
      <c r="Z51" s="432"/>
      <c r="AA51" s="432"/>
      <c r="AB51" s="432"/>
      <c r="AC51" s="432"/>
      <c r="AD51" s="432"/>
      <c r="AE51" s="432"/>
      <c r="AF51" s="432"/>
      <c r="AG51" s="432"/>
      <c r="AH51" s="464"/>
      <c r="AI51" s="464"/>
      <c r="AJ51" s="464"/>
      <c r="AK51" s="1285" t="s">
        <v>308</v>
      </c>
      <c r="AL51" s="1285"/>
      <c r="AM51" s="1285"/>
      <c r="AN51" s="1285"/>
      <c r="AO51" s="1285"/>
      <c r="AP51" s="1285"/>
      <c r="AQ51" s="1286"/>
      <c r="AR51" s="434"/>
      <c r="AS51" s="431"/>
      <c r="AT51" s="432"/>
    </row>
    <row r="52" spans="1:46" ht="12" customHeight="1" thickBot="1">
      <c r="A52" s="433"/>
      <c r="B52" s="1264"/>
      <c r="C52" s="1264"/>
      <c r="D52" s="1264"/>
      <c r="E52" s="1264"/>
      <c r="F52" s="1277"/>
      <c r="G52" s="1278"/>
      <c r="H52" s="1278"/>
      <c r="I52" s="1278"/>
      <c r="J52" s="1278"/>
      <c r="K52" s="1278"/>
      <c r="L52" s="1278"/>
      <c r="M52" s="1278"/>
      <c r="N52" s="1279"/>
      <c r="O52" s="1283"/>
      <c r="P52" s="1284"/>
      <c r="Q52" s="1284"/>
      <c r="R52" s="1284"/>
      <c r="S52" s="432"/>
      <c r="T52" s="432"/>
      <c r="U52" s="432"/>
      <c r="V52" s="432"/>
      <c r="W52" s="432"/>
      <c r="X52" s="432"/>
      <c r="Y52" s="432"/>
      <c r="Z52" s="432"/>
      <c r="AA52" s="432"/>
      <c r="AB52" s="432"/>
      <c r="AC52" s="432"/>
      <c r="AD52" s="432"/>
      <c r="AE52" s="432"/>
      <c r="AF52" s="432"/>
      <c r="AG52" s="432"/>
      <c r="AH52" s="464"/>
      <c r="AI52" s="464"/>
      <c r="AJ52" s="464"/>
      <c r="AK52" s="1285"/>
      <c r="AL52" s="1285"/>
      <c r="AM52" s="1285"/>
      <c r="AN52" s="1285"/>
      <c r="AO52" s="1285"/>
      <c r="AP52" s="1285"/>
      <c r="AQ52" s="1286"/>
      <c r="AR52" s="434"/>
      <c r="AS52" s="431"/>
      <c r="AT52" s="432"/>
    </row>
    <row r="53" spans="1:46" ht="12" customHeight="1" thickBot="1">
      <c r="A53" s="433"/>
      <c r="B53" s="1264"/>
      <c r="C53" s="1264"/>
      <c r="D53" s="1264"/>
      <c r="E53" s="1264"/>
      <c r="F53" s="1277"/>
      <c r="G53" s="1278"/>
      <c r="H53" s="1278"/>
      <c r="I53" s="1278"/>
      <c r="J53" s="1278"/>
      <c r="K53" s="1278"/>
      <c r="L53" s="1278"/>
      <c r="M53" s="1278"/>
      <c r="N53" s="1279"/>
      <c r="O53" s="1283" t="s">
        <v>309</v>
      </c>
      <c r="P53" s="1284"/>
      <c r="Q53" s="1284"/>
      <c r="R53" s="1284"/>
      <c r="S53" s="463"/>
      <c r="T53" s="432"/>
      <c r="U53" s="432"/>
      <c r="V53" s="432"/>
      <c r="W53" s="432"/>
      <c r="X53" s="432"/>
      <c r="Y53" s="432"/>
      <c r="Z53" s="432"/>
      <c r="AA53" s="432"/>
      <c r="AB53" s="432"/>
      <c r="AC53" s="432"/>
      <c r="AD53" s="432"/>
      <c r="AE53" s="432"/>
      <c r="AF53" s="432"/>
      <c r="AG53" s="432"/>
      <c r="AH53" s="465"/>
      <c r="AI53" s="465"/>
      <c r="AJ53" s="465"/>
      <c r="AK53" s="465"/>
      <c r="AL53" s="465"/>
      <c r="AM53" s="432"/>
      <c r="AN53" s="466"/>
      <c r="AO53" s="465"/>
      <c r="AP53" s="465"/>
      <c r="AQ53" s="467"/>
      <c r="AR53" s="434"/>
      <c r="AS53" s="431"/>
      <c r="AT53" s="432"/>
    </row>
    <row r="54" spans="1:46" ht="12" customHeight="1">
      <c r="A54" s="433"/>
      <c r="B54" s="1264"/>
      <c r="C54" s="1264"/>
      <c r="D54" s="1264"/>
      <c r="E54" s="1264"/>
      <c r="F54" s="1277"/>
      <c r="G54" s="1278"/>
      <c r="H54" s="1278"/>
      <c r="I54" s="1278"/>
      <c r="J54" s="1278"/>
      <c r="K54" s="1278"/>
      <c r="L54" s="1278"/>
      <c r="M54" s="1278"/>
      <c r="N54" s="1279"/>
      <c r="O54" s="1283"/>
      <c r="P54" s="1284"/>
      <c r="Q54" s="1284"/>
      <c r="R54" s="1284"/>
      <c r="S54" s="432"/>
      <c r="T54" s="432"/>
      <c r="U54" s="432"/>
      <c r="V54" s="432"/>
      <c r="W54" s="432"/>
      <c r="X54" s="432"/>
      <c r="Y54" s="432"/>
      <c r="Z54" s="432"/>
      <c r="AA54" s="432"/>
      <c r="AB54" s="432"/>
      <c r="AC54" s="432"/>
      <c r="AD54" s="432"/>
      <c r="AE54" s="432" t="s">
        <v>310</v>
      </c>
      <c r="AF54" s="432"/>
      <c r="AG54" s="432"/>
      <c r="AH54" s="463"/>
      <c r="AI54" s="463"/>
      <c r="AJ54" s="432"/>
      <c r="AK54" s="432"/>
      <c r="AL54" s="432"/>
      <c r="AM54" s="432"/>
      <c r="AN54" s="432"/>
      <c r="AO54" s="432"/>
      <c r="AP54" s="432"/>
      <c r="AQ54" s="461"/>
      <c r="AR54" s="434"/>
      <c r="AS54" s="431"/>
      <c r="AT54" s="432"/>
    </row>
    <row r="55" spans="1:46" ht="12" customHeight="1">
      <c r="A55" s="433"/>
      <c r="B55" s="1264"/>
      <c r="C55" s="1264"/>
      <c r="D55" s="1264"/>
      <c r="E55" s="1264"/>
      <c r="F55" s="1277"/>
      <c r="G55" s="1278"/>
      <c r="H55" s="1278"/>
      <c r="I55" s="1278"/>
      <c r="J55" s="1278"/>
      <c r="K55" s="1278"/>
      <c r="L55" s="1278"/>
      <c r="M55" s="1278"/>
      <c r="N55" s="1279"/>
      <c r="O55" s="460" t="s">
        <v>311</v>
      </c>
      <c r="P55" s="432"/>
      <c r="Q55" s="432"/>
      <c r="R55" s="432"/>
      <c r="S55" s="432"/>
      <c r="T55" s="432"/>
      <c r="U55" s="432"/>
      <c r="V55" s="432"/>
      <c r="W55" s="432"/>
      <c r="X55" s="432"/>
      <c r="Y55" s="432"/>
      <c r="Z55" s="432"/>
      <c r="AA55" s="432"/>
      <c r="AB55" s="432"/>
      <c r="AC55" s="432"/>
      <c r="AD55" s="432"/>
      <c r="AE55" s="432"/>
      <c r="AF55" s="432"/>
      <c r="AG55" s="432"/>
      <c r="AH55" s="432"/>
      <c r="AI55" s="432"/>
      <c r="AJ55" s="432"/>
      <c r="AK55" s="432"/>
      <c r="AL55" s="432"/>
      <c r="AM55" s="432"/>
      <c r="AN55" s="432"/>
      <c r="AO55" s="432"/>
      <c r="AP55" s="432"/>
      <c r="AQ55" s="461"/>
      <c r="AR55" s="434"/>
      <c r="AS55" s="431"/>
      <c r="AT55" s="432"/>
    </row>
    <row r="56" spans="1:46" ht="12" customHeight="1">
      <c r="A56" s="433"/>
      <c r="B56" s="1264"/>
      <c r="C56" s="1264"/>
      <c r="D56" s="1264"/>
      <c r="E56" s="1264"/>
      <c r="F56" s="1277"/>
      <c r="G56" s="1278"/>
      <c r="H56" s="1278"/>
      <c r="I56" s="1278"/>
      <c r="J56" s="1278"/>
      <c r="K56" s="1278"/>
      <c r="L56" s="1278"/>
      <c r="M56" s="1278"/>
      <c r="N56" s="1279"/>
      <c r="O56" s="1283" t="s">
        <v>307</v>
      </c>
      <c r="P56" s="1284"/>
      <c r="Q56" s="1284"/>
      <c r="R56" s="1284"/>
      <c r="S56" s="432"/>
      <c r="T56" s="432"/>
      <c r="U56" s="432"/>
      <c r="V56" s="432"/>
      <c r="W56" s="432"/>
      <c r="X56" s="432"/>
      <c r="Y56" s="432"/>
      <c r="Z56" s="432"/>
      <c r="AA56" s="432"/>
      <c r="AB56" s="432"/>
      <c r="AC56" s="432"/>
      <c r="AD56" s="432"/>
      <c r="AE56" s="432"/>
      <c r="AF56" s="432"/>
      <c r="AG56" s="432"/>
      <c r="AH56" s="432"/>
      <c r="AI56" s="432"/>
      <c r="AJ56" s="432"/>
      <c r="AK56" s="432"/>
      <c r="AL56" s="432"/>
      <c r="AM56" s="432"/>
      <c r="AN56" s="432"/>
      <c r="AO56" s="432"/>
      <c r="AP56" s="432"/>
      <c r="AQ56" s="461"/>
      <c r="AR56" s="434"/>
      <c r="AS56" s="431"/>
      <c r="AT56" s="432"/>
    </row>
    <row r="57" spans="1:46" ht="12" customHeight="1">
      <c r="A57" s="433"/>
      <c r="B57" s="1264"/>
      <c r="C57" s="1264"/>
      <c r="D57" s="1264"/>
      <c r="E57" s="1264"/>
      <c r="F57" s="1277"/>
      <c r="G57" s="1278"/>
      <c r="H57" s="1278"/>
      <c r="I57" s="1278"/>
      <c r="J57" s="1278"/>
      <c r="K57" s="1278"/>
      <c r="L57" s="1278"/>
      <c r="M57" s="1278"/>
      <c r="N57" s="1279"/>
      <c r="O57" s="1283"/>
      <c r="P57" s="1284"/>
      <c r="Q57" s="1284"/>
      <c r="R57" s="1284"/>
      <c r="S57" s="432"/>
      <c r="T57" s="432"/>
      <c r="U57" s="432"/>
      <c r="V57" s="432"/>
      <c r="W57" s="432"/>
      <c r="X57" s="432"/>
      <c r="Y57" s="432"/>
      <c r="Z57" s="432"/>
      <c r="AA57" s="432"/>
      <c r="AB57" s="432"/>
      <c r="AC57" s="432"/>
      <c r="AD57" s="432"/>
      <c r="AE57" s="432"/>
      <c r="AF57" s="432"/>
      <c r="AG57" s="432"/>
      <c r="AH57" s="432"/>
      <c r="AI57" s="432"/>
      <c r="AJ57" s="432"/>
      <c r="AK57" s="432"/>
      <c r="AL57" s="432"/>
      <c r="AM57" s="432"/>
      <c r="AN57" s="432"/>
      <c r="AO57" s="432"/>
      <c r="AP57" s="432"/>
      <c r="AQ57" s="461"/>
      <c r="AR57" s="434"/>
      <c r="AS57" s="431"/>
      <c r="AT57" s="432"/>
    </row>
    <row r="58" spans="1:46" ht="12" customHeight="1">
      <c r="A58" s="433"/>
      <c r="B58" s="1264"/>
      <c r="C58" s="1264"/>
      <c r="D58" s="1264"/>
      <c r="E58" s="1264"/>
      <c r="F58" s="1277"/>
      <c r="G58" s="1278"/>
      <c r="H58" s="1278"/>
      <c r="I58" s="1278"/>
      <c r="J58" s="1278"/>
      <c r="K58" s="1278"/>
      <c r="L58" s="1278"/>
      <c r="M58" s="1278"/>
      <c r="N58" s="1279"/>
      <c r="O58" s="1283" t="s">
        <v>309</v>
      </c>
      <c r="P58" s="1284"/>
      <c r="Q58" s="1284"/>
      <c r="R58" s="1284"/>
      <c r="S58" s="432"/>
      <c r="T58" s="432"/>
      <c r="U58" s="432"/>
      <c r="V58" s="432"/>
      <c r="W58" s="432"/>
      <c r="X58" s="432"/>
      <c r="Y58" s="432"/>
      <c r="Z58" s="432"/>
      <c r="AA58" s="432"/>
      <c r="AB58" s="432"/>
      <c r="AC58" s="432"/>
      <c r="AD58" s="432"/>
      <c r="AE58" s="432"/>
      <c r="AF58" s="432"/>
      <c r="AG58" s="432"/>
      <c r="AH58" s="432"/>
      <c r="AI58" s="432"/>
      <c r="AJ58" s="432"/>
      <c r="AK58" s="432"/>
      <c r="AL58" s="432"/>
      <c r="AM58" s="432"/>
      <c r="AN58" s="432"/>
      <c r="AO58" s="432"/>
      <c r="AP58" s="432"/>
      <c r="AQ58" s="461"/>
      <c r="AR58" s="434"/>
      <c r="AS58" s="431"/>
      <c r="AT58" s="432"/>
    </row>
    <row r="59" spans="1:46" ht="12" customHeight="1">
      <c r="A59" s="433"/>
      <c r="B59" s="1264"/>
      <c r="C59" s="1264"/>
      <c r="D59" s="1264"/>
      <c r="E59" s="1264"/>
      <c r="F59" s="1280"/>
      <c r="G59" s="1281"/>
      <c r="H59" s="1281"/>
      <c r="I59" s="1281"/>
      <c r="J59" s="1281"/>
      <c r="K59" s="1281"/>
      <c r="L59" s="1281"/>
      <c r="M59" s="1281"/>
      <c r="N59" s="1282"/>
      <c r="O59" s="1283"/>
      <c r="P59" s="1284"/>
      <c r="Q59" s="1284"/>
      <c r="R59" s="1284"/>
      <c r="S59" s="432"/>
      <c r="T59" s="432"/>
      <c r="U59" s="432"/>
      <c r="V59" s="432"/>
      <c r="W59" s="432"/>
      <c r="X59" s="432"/>
      <c r="Y59" s="432"/>
      <c r="Z59" s="432"/>
      <c r="AA59" s="432"/>
      <c r="AB59" s="432"/>
      <c r="AC59" s="432"/>
      <c r="AD59" s="432"/>
      <c r="AE59" s="432" t="s">
        <v>310</v>
      </c>
      <c r="AF59" s="432"/>
      <c r="AG59" s="432"/>
      <c r="AH59" s="432"/>
      <c r="AI59" s="432"/>
      <c r="AJ59" s="432"/>
      <c r="AK59" s="432"/>
      <c r="AL59" s="432"/>
      <c r="AM59" s="432"/>
      <c r="AN59" s="432"/>
      <c r="AO59" s="432"/>
      <c r="AP59" s="432"/>
      <c r="AQ59" s="461"/>
      <c r="AR59" s="434"/>
      <c r="AS59" s="431"/>
      <c r="AT59" s="432"/>
    </row>
    <row r="60" spans="1:46" ht="12" customHeight="1">
      <c r="A60" s="433"/>
      <c r="B60" s="1264"/>
      <c r="C60" s="1264"/>
      <c r="D60" s="1264"/>
      <c r="E60" s="1264"/>
      <c r="F60" s="1260" t="s">
        <v>145</v>
      </c>
      <c r="G60" s="1261"/>
      <c r="H60" s="1261"/>
      <c r="I60" s="1261"/>
      <c r="J60" s="1261"/>
      <c r="K60" s="1261"/>
      <c r="L60" s="1261"/>
      <c r="M60" s="1261"/>
      <c r="N60" s="1262"/>
      <c r="O60" s="468"/>
      <c r="P60" s="458"/>
      <c r="Q60" s="458"/>
      <c r="R60" s="458"/>
      <c r="S60" s="458"/>
      <c r="T60" s="458"/>
      <c r="U60" s="458"/>
      <c r="V60" s="458"/>
      <c r="W60" s="458"/>
      <c r="X60" s="458"/>
      <c r="Y60" s="458"/>
      <c r="Z60" s="458"/>
      <c r="AA60" s="458"/>
      <c r="AB60" s="458"/>
      <c r="AC60" s="458"/>
      <c r="AD60" s="458"/>
      <c r="AE60" s="458"/>
      <c r="AF60" s="458"/>
      <c r="AG60" s="458"/>
      <c r="AH60" s="458"/>
      <c r="AI60" s="458"/>
      <c r="AJ60" s="469"/>
      <c r="AK60" s="458"/>
      <c r="AL60" s="458"/>
      <c r="AM60" s="458"/>
      <c r="AN60" s="458"/>
      <c r="AO60" s="458"/>
      <c r="AP60" s="458"/>
      <c r="AQ60" s="459"/>
      <c r="AR60" s="434"/>
      <c r="AS60" s="431"/>
      <c r="AT60" s="432"/>
    </row>
    <row r="61" spans="1:46" ht="12" customHeight="1">
      <c r="A61" s="433"/>
      <c r="B61" s="1264"/>
      <c r="C61" s="1264"/>
      <c r="D61" s="1264"/>
      <c r="E61" s="1264"/>
      <c r="F61" s="1263"/>
      <c r="G61" s="1264"/>
      <c r="H61" s="1264"/>
      <c r="I61" s="1264"/>
      <c r="J61" s="1264"/>
      <c r="K61" s="1264"/>
      <c r="L61" s="1264"/>
      <c r="M61" s="1264"/>
      <c r="N61" s="1265"/>
      <c r="O61" s="470"/>
      <c r="P61" s="432"/>
      <c r="Q61" s="432"/>
      <c r="R61" s="432"/>
      <c r="S61" s="432"/>
      <c r="T61" s="432"/>
      <c r="U61" s="432"/>
      <c r="V61" s="432"/>
      <c r="W61" s="432"/>
      <c r="X61" s="432"/>
      <c r="Y61" s="432"/>
      <c r="Z61" s="432"/>
      <c r="AA61" s="432"/>
      <c r="AB61" s="432"/>
      <c r="AC61" s="432"/>
      <c r="AD61" s="432"/>
      <c r="AE61" s="432"/>
      <c r="AF61" s="432"/>
      <c r="AG61" s="432"/>
      <c r="AH61" s="432"/>
      <c r="AI61" s="432"/>
      <c r="AJ61" s="432"/>
      <c r="AK61" s="471"/>
      <c r="AL61" s="472"/>
      <c r="AM61" s="472"/>
      <c r="AN61" s="432"/>
      <c r="AO61" s="432"/>
      <c r="AP61" s="432"/>
      <c r="AQ61" s="461"/>
      <c r="AR61" s="434"/>
      <c r="AS61" s="431"/>
      <c r="AT61" s="432"/>
    </row>
    <row r="62" spans="1:46" ht="12" customHeight="1">
      <c r="A62" s="433"/>
      <c r="B62" s="1264"/>
      <c r="C62" s="1264"/>
      <c r="D62" s="1264"/>
      <c r="E62" s="1264"/>
      <c r="F62" s="1263"/>
      <c r="G62" s="1264"/>
      <c r="H62" s="1264"/>
      <c r="I62" s="1264"/>
      <c r="J62" s="1264"/>
      <c r="K62" s="1264"/>
      <c r="L62" s="1264"/>
      <c r="M62" s="1264"/>
      <c r="N62" s="1265"/>
      <c r="O62" s="470"/>
      <c r="P62" s="432"/>
      <c r="Q62" s="432" t="s">
        <v>312</v>
      </c>
      <c r="R62" s="432"/>
      <c r="S62" s="432"/>
      <c r="T62" s="432"/>
      <c r="U62" s="432"/>
      <c r="V62" s="432"/>
      <c r="W62" s="432"/>
      <c r="X62" s="432"/>
      <c r="Y62" s="432"/>
      <c r="Z62" s="432"/>
      <c r="AA62" s="432"/>
      <c r="AB62" s="432"/>
      <c r="AC62" s="432"/>
      <c r="AD62" s="432"/>
      <c r="AE62" s="432"/>
      <c r="AF62" s="432"/>
      <c r="AG62" s="432"/>
      <c r="AH62" s="432"/>
      <c r="AI62" s="432"/>
      <c r="AJ62" s="432"/>
      <c r="AK62" s="432"/>
      <c r="AL62" s="472"/>
      <c r="AM62" s="1269" t="s">
        <v>313</v>
      </c>
      <c r="AN62" s="1269"/>
      <c r="AO62" s="432"/>
      <c r="AP62" s="432"/>
      <c r="AQ62" s="461"/>
      <c r="AR62" s="434"/>
      <c r="AS62" s="431"/>
      <c r="AT62" s="432"/>
    </row>
    <row r="63" spans="1:46" ht="12" customHeight="1">
      <c r="A63" s="433"/>
      <c r="B63" s="1264"/>
      <c r="C63" s="1264"/>
      <c r="D63" s="1264"/>
      <c r="E63" s="1264"/>
      <c r="F63" s="1263"/>
      <c r="G63" s="1264"/>
      <c r="H63" s="1264"/>
      <c r="I63" s="1264"/>
      <c r="J63" s="1264"/>
      <c r="K63" s="1264"/>
      <c r="L63" s="1264"/>
      <c r="M63" s="1264"/>
      <c r="N63" s="1265"/>
      <c r="O63" s="470"/>
      <c r="P63" s="432"/>
      <c r="Q63" s="432"/>
      <c r="R63" s="432"/>
      <c r="S63" s="432"/>
      <c r="T63" s="432"/>
      <c r="U63" s="432"/>
      <c r="V63" s="432"/>
      <c r="W63" s="432"/>
      <c r="X63" s="432"/>
      <c r="Y63" s="432"/>
      <c r="Z63" s="432"/>
      <c r="AA63" s="432"/>
      <c r="AB63" s="432"/>
      <c r="AC63" s="432"/>
      <c r="AD63" s="432"/>
      <c r="AE63" s="432"/>
      <c r="AF63" s="472"/>
      <c r="AG63" s="472"/>
      <c r="AH63" s="473"/>
      <c r="AI63" s="473"/>
      <c r="AJ63" s="473"/>
      <c r="AK63" s="473"/>
      <c r="AL63" s="473"/>
      <c r="AM63" s="1269"/>
      <c r="AN63" s="1269"/>
      <c r="AO63" s="473"/>
      <c r="AP63" s="473"/>
      <c r="AQ63" s="474"/>
      <c r="AR63" s="434"/>
      <c r="AS63" s="431"/>
      <c r="AT63" s="432"/>
    </row>
    <row r="64" spans="1:46" ht="12" customHeight="1">
      <c r="A64" s="433"/>
      <c r="B64" s="1264"/>
      <c r="C64" s="1264"/>
      <c r="D64" s="1264"/>
      <c r="E64" s="1264"/>
      <c r="F64" s="1266"/>
      <c r="G64" s="1267"/>
      <c r="H64" s="1267"/>
      <c r="I64" s="1267"/>
      <c r="J64" s="1267"/>
      <c r="K64" s="1267"/>
      <c r="L64" s="1267"/>
      <c r="M64" s="1267"/>
      <c r="N64" s="1268"/>
      <c r="O64" s="470"/>
      <c r="P64" s="432"/>
      <c r="Q64" s="432"/>
      <c r="R64" s="432"/>
      <c r="S64" s="432"/>
      <c r="T64" s="432"/>
      <c r="U64" s="432"/>
      <c r="V64" s="432"/>
      <c r="W64" s="432"/>
      <c r="X64" s="432"/>
      <c r="Y64" s="432"/>
      <c r="Z64" s="432"/>
      <c r="AA64" s="432"/>
      <c r="AB64" s="432"/>
      <c r="AC64" s="432"/>
      <c r="AD64" s="432"/>
      <c r="AE64" s="432"/>
      <c r="AF64" s="432"/>
      <c r="AG64" s="432"/>
      <c r="AH64" s="473"/>
      <c r="AI64" s="473"/>
      <c r="AJ64" s="473"/>
      <c r="AK64" s="473"/>
      <c r="AL64" s="473"/>
      <c r="AM64" s="473"/>
      <c r="AN64" s="473"/>
      <c r="AO64" s="473"/>
      <c r="AP64" s="473"/>
      <c r="AQ64" s="474"/>
      <c r="AR64" s="434"/>
      <c r="AS64" s="431"/>
      <c r="AT64" s="432"/>
    </row>
    <row r="65" spans="1:46" ht="12" customHeight="1">
      <c r="A65" s="433"/>
      <c r="B65" s="453"/>
      <c r="C65" s="453"/>
      <c r="D65" s="453"/>
      <c r="E65" s="453"/>
      <c r="F65" s="453"/>
      <c r="G65" s="453"/>
      <c r="H65" s="453"/>
      <c r="I65" s="453"/>
      <c r="J65" s="453"/>
      <c r="K65" s="453"/>
      <c r="L65" s="453"/>
      <c r="M65" s="453"/>
      <c r="N65" s="453"/>
      <c r="O65" s="475"/>
      <c r="P65" s="458"/>
      <c r="Q65" s="458"/>
      <c r="R65" s="458"/>
      <c r="S65" s="458"/>
      <c r="T65" s="458"/>
      <c r="U65" s="458"/>
      <c r="V65" s="458"/>
      <c r="W65" s="458"/>
      <c r="X65" s="458"/>
      <c r="Y65" s="458"/>
      <c r="Z65" s="458"/>
      <c r="AA65" s="458"/>
      <c r="AB65" s="458"/>
      <c r="AC65" s="458"/>
      <c r="AD65" s="458"/>
      <c r="AE65" s="458"/>
      <c r="AF65" s="458"/>
      <c r="AG65" s="458"/>
      <c r="AH65" s="476"/>
      <c r="AI65" s="476"/>
      <c r="AJ65" s="476"/>
      <c r="AK65" s="476"/>
      <c r="AL65" s="476"/>
      <c r="AM65" s="476"/>
      <c r="AN65" s="476"/>
      <c r="AO65" s="476"/>
      <c r="AP65" s="476"/>
      <c r="AQ65" s="476"/>
      <c r="AR65" s="434"/>
      <c r="AS65" s="431"/>
      <c r="AT65" s="432"/>
    </row>
    <row r="66" spans="1:46" ht="12" customHeight="1">
      <c r="A66" s="433"/>
      <c r="B66" s="432"/>
      <c r="C66" s="432"/>
      <c r="D66" s="432"/>
      <c r="E66" s="432"/>
      <c r="F66" s="432"/>
      <c r="G66" s="432"/>
      <c r="H66" s="432"/>
      <c r="I66" s="432"/>
      <c r="J66" s="432"/>
      <c r="K66" s="432"/>
      <c r="L66" s="432"/>
      <c r="M66" s="432"/>
      <c r="N66" s="432"/>
      <c r="O66" s="432"/>
      <c r="P66" s="432"/>
      <c r="Q66" s="432"/>
      <c r="R66" s="432"/>
      <c r="S66" s="432"/>
      <c r="T66" s="432"/>
      <c r="U66" s="432"/>
      <c r="V66" s="432"/>
      <c r="W66" s="432"/>
      <c r="X66" s="432"/>
      <c r="Y66" s="432"/>
      <c r="Z66" s="432"/>
      <c r="AA66" s="432"/>
      <c r="AB66" s="432"/>
      <c r="AC66" s="432"/>
      <c r="AD66" s="432"/>
      <c r="AE66" s="453"/>
      <c r="AF66" s="700" t="s">
        <v>314</v>
      </c>
      <c r="AG66" s="700"/>
      <c r="AH66" s="700"/>
      <c r="AI66" s="700"/>
      <c r="AJ66" s="700"/>
      <c r="AK66" s="700"/>
      <c r="AL66" s="700"/>
      <c r="AM66" s="700"/>
      <c r="AN66" s="700"/>
      <c r="AO66" s="700"/>
      <c r="AP66" s="700"/>
      <c r="AQ66" s="432"/>
      <c r="AR66" s="434"/>
      <c r="AS66" s="431"/>
      <c r="AT66" s="432"/>
    </row>
    <row r="67" spans="1:46" ht="12" customHeight="1">
      <c r="A67" s="433"/>
      <c r="B67" s="432"/>
      <c r="C67" s="432"/>
      <c r="D67" s="432"/>
      <c r="E67" s="432"/>
      <c r="F67" s="432"/>
      <c r="G67" s="432"/>
      <c r="H67" s="1270"/>
      <c r="I67" s="1270"/>
      <c r="J67" s="1270"/>
      <c r="K67" s="1270"/>
      <c r="L67" s="1270"/>
      <c r="M67" s="432"/>
      <c r="N67" s="432"/>
      <c r="O67" s="432"/>
      <c r="P67" s="432"/>
      <c r="Q67" s="432"/>
      <c r="R67" s="432"/>
      <c r="S67" s="432"/>
      <c r="T67" s="432"/>
      <c r="U67" s="432"/>
      <c r="V67" s="432"/>
      <c r="W67" s="432"/>
      <c r="X67" s="432"/>
      <c r="Y67" s="432"/>
      <c r="Z67" s="432"/>
      <c r="AA67" s="432"/>
      <c r="AB67" s="432"/>
      <c r="AC67" s="432"/>
      <c r="AD67" s="432"/>
      <c r="AE67" s="432"/>
      <c r="AF67" s="700"/>
      <c r="AG67" s="700"/>
      <c r="AH67" s="700"/>
      <c r="AI67" s="700"/>
      <c r="AJ67" s="700"/>
      <c r="AK67" s="700"/>
      <c r="AL67" s="700"/>
      <c r="AM67" s="700"/>
      <c r="AN67" s="700"/>
      <c r="AO67" s="700"/>
      <c r="AP67" s="700"/>
      <c r="AQ67" s="432"/>
      <c r="AR67" s="434"/>
      <c r="AS67" s="431"/>
      <c r="AT67" s="432"/>
    </row>
    <row r="68" spans="1:46" ht="12" customHeight="1">
      <c r="A68" s="477"/>
      <c r="B68" s="451"/>
      <c r="C68" s="451"/>
      <c r="D68" s="451"/>
      <c r="E68" s="451"/>
      <c r="F68" s="451"/>
      <c r="G68" s="451"/>
      <c r="H68" s="451"/>
      <c r="I68" s="451"/>
      <c r="J68" s="451"/>
      <c r="K68" s="451"/>
      <c r="L68" s="451"/>
      <c r="M68" s="451"/>
      <c r="N68" s="451"/>
      <c r="O68" s="451"/>
      <c r="P68" s="451"/>
      <c r="Q68" s="451"/>
      <c r="R68" s="451"/>
      <c r="S68" s="451"/>
      <c r="T68" s="451"/>
      <c r="U68" s="451"/>
      <c r="V68" s="451"/>
      <c r="W68" s="451"/>
      <c r="X68" s="451"/>
      <c r="Y68" s="451"/>
      <c r="Z68" s="451"/>
      <c r="AA68" s="451"/>
      <c r="AB68" s="451"/>
      <c r="AC68" s="451"/>
      <c r="AD68" s="451"/>
      <c r="AE68" s="451"/>
      <c r="AF68" s="451"/>
      <c r="AG68" s="451"/>
      <c r="AH68" s="451"/>
      <c r="AI68" s="451"/>
      <c r="AJ68" s="451"/>
      <c r="AK68" s="451"/>
      <c r="AL68" s="451"/>
      <c r="AM68" s="451"/>
      <c r="AN68" s="451"/>
      <c r="AO68" s="451"/>
      <c r="AP68" s="451"/>
      <c r="AQ68" s="451"/>
      <c r="AR68" s="452"/>
      <c r="AS68" s="431"/>
      <c r="AT68" s="432"/>
    </row>
    <row r="69" spans="1:46" ht="12" customHeight="1">
      <c r="A69" s="478" t="s">
        <v>315</v>
      </c>
      <c r="B69" s="432"/>
      <c r="C69" s="432"/>
      <c r="D69" s="432"/>
      <c r="E69" s="432"/>
      <c r="F69" s="432"/>
      <c r="G69" s="432"/>
      <c r="H69" s="432"/>
      <c r="I69" s="432"/>
      <c r="J69" s="432"/>
      <c r="K69" s="432"/>
      <c r="L69" s="432"/>
      <c r="M69" s="432"/>
      <c r="N69" s="432"/>
      <c r="O69" s="432"/>
      <c r="P69" s="432"/>
      <c r="Q69" s="432"/>
      <c r="R69" s="432"/>
      <c r="S69" s="432"/>
      <c r="T69" s="432"/>
      <c r="U69" s="432"/>
      <c r="V69" s="432"/>
      <c r="W69" s="432"/>
      <c r="X69" s="432"/>
      <c r="Y69" s="432"/>
      <c r="Z69" s="432"/>
      <c r="AA69" s="432"/>
      <c r="AB69" s="432"/>
      <c r="AC69" s="432"/>
      <c r="AD69" s="432"/>
      <c r="AE69" s="432"/>
      <c r="AF69" s="432"/>
      <c r="AG69" s="432"/>
      <c r="AH69" s="432"/>
      <c r="AI69" s="432"/>
      <c r="AJ69" s="432"/>
      <c r="AK69" s="432"/>
      <c r="AL69" s="432"/>
      <c r="AM69" s="432"/>
      <c r="AN69" s="432"/>
      <c r="AO69" s="432"/>
      <c r="AP69" s="432"/>
      <c r="AQ69" s="432"/>
      <c r="AR69" s="432"/>
      <c r="AS69" s="431"/>
      <c r="AT69" s="432"/>
    </row>
    <row r="70" spans="1:46" ht="12" customHeight="1">
      <c r="A70" s="479"/>
      <c r="B70" s="460"/>
      <c r="C70" s="460"/>
      <c r="D70" s="460"/>
      <c r="E70" s="460"/>
      <c r="F70" s="460"/>
      <c r="G70" s="460"/>
      <c r="H70" s="460"/>
      <c r="I70" s="460"/>
      <c r="J70" s="460"/>
      <c r="K70" s="460"/>
      <c r="L70" s="460"/>
      <c r="M70" s="460"/>
      <c r="N70" s="460"/>
      <c r="O70" s="460"/>
      <c r="P70" s="460"/>
      <c r="Q70" s="460"/>
      <c r="R70" s="460"/>
      <c r="S70" s="460"/>
      <c r="T70" s="460"/>
      <c r="U70" s="460"/>
      <c r="V70" s="460"/>
      <c r="W70" s="460"/>
      <c r="X70" s="460"/>
      <c r="Y70" s="460"/>
      <c r="Z70" s="460"/>
      <c r="AA70" s="460"/>
      <c r="AB70" s="460"/>
      <c r="AC70" s="460"/>
      <c r="AD70" s="460"/>
      <c r="AE70" s="460"/>
      <c r="AF70" s="460"/>
      <c r="AG70" s="460"/>
      <c r="AH70" s="460"/>
      <c r="AI70" s="460"/>
      <c r="AJ70" s="460"/>
      <c r="AK70" s="460"/>
      <c r="AL70" s="460"/>
      <c r="AM70" s="460"/>
      <c r="AN70" s="460"/>
      <c r="AO70" s="460"/>
      <c r="AP70" s="460"/>
      <c r="AQ70" s="460"/>
      <c r="AR70" s="460"/>
      <c r="AS70" s="431"/>
      <c r="AT70" s="432"/>
    </row>
    <row r="71" spans="1:46" ht="12" customHeight="1">
      <c r="A71" s="479" t="s">
        <v>316</v>
      </c>
      <c r="B71" s="480"/>
      <c r="C71" s="480"/>
      <c r="D71" s="480"/>
      <c r="E71" s="480"/>
      <c r="F71" s="480"/>
      <c r="G71" s="480"/>
      <c r="H71" s="480"/>
      <c r="I71" s="480"/>
      <c r="J71" s="480"/>
      <c r="K71" s="480"/>
      <c r="L71" s="480"/>
      <c r="M71" s="480"/>
      <c r="N71" s="480"/>
      <c r="O71" s="480"/>
      <c r="P71" s="480"/>
      <c r="Q71" s="480"/>
      <c r="R71" s="480"/>
      <c r="S71" s="480"/>
      <c r="T71" s="480"/>
      <c r="U71" s="480"/>
      <c r="V71" s="480"/>
      <c r="W71" s="480"/>
      <c r="X71" s="480"/>
      <c r="Y71" s="480"/>
      <c r="Z71" s="480"/>
      <c r="AA71" s="480"/>
      <c r="AB71" s="480"/>
      <c r="AC71" s="480"/>
      <c r="AD71" s="480"/>
      <c r="AE71" s="480"/>
      <c r="AF71" s="480"/>
      <c r="AG71" s="480"/>
      <c r="AH71" s="480"/>
      <c r="AI71" s="480"/>
      <c r="AJ71" s="480"/>
      <c r="AK71" s="480"/>
      <c r="AL71" s="480"/>
      <c r="AM71" s="480"/>
      <c r="AN71" s="480"/>
      <c r="AO71" s="480"/>
      <c r="AP71" s="480"/>
      <c r="AQ71" s="480"/>
      <c r="AR71" s="480"/>
      <c r="AS71" s="432"/>
      <c r="AT71" s="432"/>
    </row>
    <row r="72" spans="1:46" ht="12" customHeight="1">
      <c r="A72" s="427"/>
      <c r="B72" s="479" t="s">
        <v>317</v>
      </c>
      <c r="C72" s="1271" t="s">
        <v>318</v>
      </c>
      <c r="D72" s="1271"/>
      <c r="E72" s="1271"/>
      <c r="F72" s="1271"/>
      <c r="G72" s="1271"/>
      <c r="H72" s="1271"/>
      <c r="I72" s="1271"/>
      <c r="J72" s="1271"/>
      <c r="K72" s="1271"/>
      <c r="L72" s="1271"/>
      <c r="M72" s="1271"/>
      <c r="N72" s="1271"/>
      <c r="O72" s="1271"/>
      <c r="P72" s="1271"/>
      <c r="Q72" s="1271"/>
      <c r="R72" s="1271"/>
      <c r="S72" s="1271"/>
      <c r="T72" s="1271"/>
      <c r="U72" s="1271"/>
      <c r="V72" s="1271"/>
      <c r="W72" s="1271"/>
      <c r="X72" s="1271"/>
      <c r="Y72" s="1271"/>
      <c r="Z72" s="1271"/>
      <c r="AA72" s="1271"/>
      <c r="AB72" s="1271"/>
      <c r="AC72" s="1271"/>
      <c r="AD72" s="1271"/>
      <c r="AE72" s="1271"/>
      <c r="AF72" s="1271"/>
      <c r="AG72" s="1271"/>
      <c r="AH72" s="1271"/>
      <c r="AI72" s="1271"/>
      <c r="AJ72" s="1271"/>
      <c r="AK72" s="1271"/>
      <c r="AL72" s="1271"/>
      <c r="AM72" s="1271"/>
      <c r="AN72" s="1271"/>
      <c r="AO72" s="1271"/>
      <c r="AP72" s="1271"/>
      <c r="AQ72" s="1271"/>
      <c r="AR72" s="1271"/>
      <c r="AS72" s="1271"/>
    </row>
    <row r="73" spans="1:46" ht="12" customHeight="1">
      <c r="A73" s="427"/>
      <c r="C73" s="481" t="s">
        <v>319</v>
      </c>
      <c r="D73" s="1255" t="s">
        <v>320</v>
      </c>
      <c r="E73" s="1255"/>
      <c r="F73" s="1255"/>
      <c r="G73" s="1255"/>
      <c r="H73" s="1255"/>
      <c r="I73" s="1255"/>
      <c r="J73" s="1255"/>
      <c r="K73" s="1255"/>
      <c r="L73" s="1255"/>
      <c r="M73" s="1255"/>
      <c r="N73" s="1255"/>
      <c r="O73" s="1255"/>
      <c r="P73" s="1255"/>
      <c r="Q73" s="1255"/>
      <c r="R73" s="1255"/>
      <c r="S73" s="1255"/>
      <c r="T73" s="1255"/>
      <c r="U73" s="1255"/>
      <c r="V73" s="1255"/>
      <c r="W73" s="1255"/>
      <c r="X73" s="1255"/>
      <c r="Y73" s="1255"/>
      <c r="Z73" s="1255"/>
      <c r="AA73" s="1255"/>
      <c r="AB73" s="1255"/>
      <c r="AC73" s="1255"/>
      <c r="AD73" s="1255"/>
      <c r="AE73" s="1255"/>
      <c r="AF73" s="1255"/>
      <c r="AG73" s="1255"/>
      <c r="AH73" s="1255"/>
      <c r="AI73" s="1255"/>
      <c r="AJ73" s="1255"/>
      <c r="AK73" s="1255"/>
      <c r="AL73" s="1255"/>
      <c r="AM73" s="1255"/>
      <c r="AN73" s="1255"/>
      <c r="AO73" s="1255"/>
      <c r="AP73" s="1255"/>
      <c r="AQ73" s="1255"/>
      <c r="AR73" s="1255"/>
      <c r="AS73" s="482"/>
      <c r="AT73" s="482"/>
    </row>
    <row r="74" spans="1:46" ht="12" customHeight="1">
      <c r="A74" s="427"/>
      <c r="C74" s="481"/>
      <c r="D74" s="1255"/>
      <c r="E74" s="1255"/>
      <c r="F74" s="1255"/>
      <c r="G74" s="1255"/>
      <c r="H74" s="1255"/>
      <c r="I74" s="1255"/>
      <c r="J74" s="1255"/>
      <c r="K74" s="1255"/>
      <c r="L74" s="1255"/>
      <c r="M74" s="1255"/>
      <c r="N74" s="1255"/>
      <c r="O74" s="1255"/>
      <c r="P74" s="1255"/>
      <c r="Q74" s="1255"/>
      <c r="R74" s="1255"/>
      <c r="S74" s="1255"/>
      <c r="T74" s="1255"/>
      <c r="U74" s="1255"/>
      <c r="V74" s="1255"/>
      <c r="W74" s="1255"/>
      <c r="X74" s="1255"/>
      <c r="Y74" s="1255"/>
      <c r="Z74" s="1255"/>
      <c r="AA74" s="1255"/>
      <c r="AB74" s="1255"/>
      <c r="AC74" s="1255"/>
      <c r="AD74" s="1255"/>
      <c r="AE74" s="1255"/>
      <c r="AF74" s="1255"/>
      <c r="AG74" s="1255"/>
      <c r="AH74" s="1255"/>
      <c r="AI74" s="1255"/>
      <c r="AJ74" s="1255"/>
      <c r="AK74" s="1255"/>
      <c r="AL74" s="1255"/>
      <c r="AM74" s="1255"/>
      <c r="AN74" s="1255"/>
      <c r="AO74" s="1255"/>
      <c r="AP74" s="1255"/>
      <c r="AQ74" s="1255"/>
      <c r="AR74" s="1255"/>
      <c r="AS74" s="482"/>
      <c r="AT74" s="482"/>
    </row>
    <row r="75" spans="1:46" ht="12" customHeight="1">
      <c r="A75" s="427"/>
      <c r="C75" s="481" t="s">
        <v>321</v>
      </c>
      <c r="D75" s="1251" t="s">
        <v>322</v>
      </c>
      <c r="E75" s="1251"/>
      <c r="F75" s="1251"/>
      <c r="G75" s="1251"/>
      <c r="H75" s="1251"/>
      <c r="I75" s="1251"/>
      <c r="J75" s="1251"/>
      <c r="K75" s="1251"/>
      <c r="L75" s="1251"/>
      <c r="M75" s="1251"/>
      <c r="N75" s="1251"/>
      <c r="O75" s="1251"/>
      <c r="P75" s="1251"/>
      <c r="Q75" s="1251"/>
      <c r="R75" s="1251"/>
      <c r="S75" s="1251"/>
      <c r="T75" s="1251"/>
      <c r="U75" s="1251"/>
      <c r="V75" s="1251"/>
      <c r="W75" s="1251"/>
      <c r="X75" s="1251"/>
      <c r="Y75" s="1251"/>
      <c r="Z75" s="1251"/>
      <c r="AA75" s="1251"/>
      <c r="AB75" s="1251"/>
      <c r="AC75" s="1251"/>
      <c r="AD75" s="1251"/>
      <c r="AE75" s="1251"/>
      <c r="AF75" s="1251"/>
      <c r="AG75" s="1251"/>
      <c r="AH75" s="1251"/>
      <c r="AI75" s="1251"/>
      <c r="AJ75" s="1251"/>
      <c r="AK75" s="1251"/>
      <c r="AL75" s="1251"/>
      <c r="AM75" s="1251"/>
      <c r="AN75" s="1251"/>
      <c r="AO75" s="1251"/>
      <c r="AP75" s="1251"/>
      <c r="AQ75" s="1251"/>
      <c r="AR75" s="1251"/>
      <c r="AS75" s="480"/>
      <c r="AT75" s="480"/>
    </row>
    <row r="76" spans="1:46" ht="14.25" customHeight="1">
      <c r="A76" s="427"/>
      <c r="C76" s="481"/>
      <c r="D76" s="1251"/>
      <c r="E76" s="1251"/>
      <c r="F76" s="1251"/>
      <c r="G76" s="1251"/>
      <c r="H76" s="1251"/>
      <c r="I76" s="1251"/>
      <c r="J76" s="1251"/>
      <c r="K76" s="1251"/>
      <c r="L76" s="1251"/>
      <c r="M76" s="1251"/>
      <c r="N76" s="1251"/>
      <c r="O76" s="1251"/>
      <c r="P76" s="1251"/>
      <c r="Q76" s="1251"/>
      <c r="R76" s="1251"/>
      <c r="S76" s="1251"/>
      <c r="T76" s="1251"/>
      <c r="U76" s="1251"/>
      <c r="V76" s="1251"/>
      <c r="W76" s="1251"/>
      <c r="X76" s="1251"/>
      <c r="Y76" s="1251"/>
      <c r="Z76" s="1251"/>
      <c r="AA76" s="1251"/>
      <c r="AB76" s="1251"/>
      <c r="AC76" s="1251"/>
      <c r="AD76" s="1251"/>
      <c r="AE76" s="1251"/>
      <c r="AF76" s="1251"/>
      <c r="AG76" s="1251"/>
      <c r="AH76" s="1251"/>
      <c r="AI76" s="1251"/>
      <c r="AJ76" s="1251"/>
      <c r="AK76" s="1251"/>
      <c r="AL76" s="1251"/>
      <c r="AM76" s="1251"/>
      <c r="AN76" s="1251"/>
      <c r="AO76" s="1251"/>
      <c r="AP76" s="1251"/>
      <c r="AQ76" s="1251"/>
      <c r="AR76" s="1251"/>
      <c r="AS76" s="480"/>
      <c r="AT76" s="480"/>
    </row>
    <row r="77" spans="1:46" ht="12" hidden="1" customHeight="1">
      <c r="A77" s="427"/>
      <c r="C77" s="481" t="s">
        <v>323</v>
      </c>
      <c r="D77" s="1251" t="s">
        <v>324</v>
      </c>
      <c r="E77" s="1251"/>
      <c r="F77" s="1251"/>
      <c r="G77" s="1251"/>
      <c r="H77" s="1251"/>
      <c r="I77" s="1251"/>
      <c r="J77" s="1251"/>
      <c r="K77" s="1251"/>
      <c r="L77" s="1251"/>
      <c r="M77" s="1251"/>
      <c r="N77" s="1251"/>
      <c r="O77" s="1251"/>
      <c r="P77" s="1251"/>
      <c r="Q77" s="1251"/>
      <c r="R77" s="1251"/>
      <c r="S77" s="1251"/>
      <c r="T77" s="1251"/>
      <c r="U77" s="1251"/>
      <c r="V77" s="1251"/>
      <c r="W77" s="1251"/>
      <c r="X77" s="1251"/>
      <c r="Y77" s="1251"/>
      <c r="Z77" s="1251"/>
      <c r="AA77" s="1251"/>
      <c r="AB77" s="1251"/>
      <c r="AC77" s="1251"/>
      <c r="AD77" s="1251"/>
      <c r="AE77" s="1251"/>
      <c r="AF77" s="1251"/>
      <c r="AG77" s="1251"/>
      <c r="AH77" s="1251"/>
      <c r="AI77" s="1251"/>
      <c r="AJ77" s="1251"/>
      <c r="AK77" s="1251"/>
      <c r="AL77" s="1251"/>
      <c r="AM77" s="1251"/>
      <c r="AN77" s="1251"/>
      <c r="AO77" s="1251"/>
      <c r="AP77" s="1251"/>
      <c r="AQ77" s="1251"/>
      <c r="AR77" s="1251"/>
      <c r="AS77" s="480"/>
      <c r="AT77" s="480"/>
    </row>
    <row r="78" spans="1:46" ht="12" customHeight="1">
      <c r="A78" s="427"/>
      <c r="C78" s="481" t="s">
        <v>325</v>
      </c>
      <c r="D78" s="1252" t="s">
        <v>326</v>
      </c>
      <c r="E78" s="1252"/>
      <c r="F78" s="1252"/>
      <c r="G78" s="1252"/>
      <c r="H78" s="1252"/>
      <c r="I78" s="1252"/>
      <c r="J78" s="1252"/>
      <c r="K78" s="1252"/>
      <c r="L78" s="1252"/>
      <c r="M78" s="1252"/>
      <c r="N78" s="1252"/>
      <c r="O78" s="1252"/>
      <c r="P78" s="1252"/>
      <c r="Q78" s="1252"/>
      <c r="R78" s="1252"/>
      <c r="S78" s="1252"/>
      <c r="T78" s="1252"/>
      <c r="U78" s="1252"/>
      <c r="V78" s="1252"/>
      <c r="W78" s="1252"/>
      <c r="X78" s="1252"/>
      <c r="Y78" s="1252"/>
      <c r="Z78" s="1252"/>
      <c r="AA78" s="1252"/>
      <c r="AB78" s="1252"/>
      <c r="AC78" s="1252"/>
      <c r="AD78" s="1252"/>
      <c r="AE78" s="1252"/>
      <c r="AF78" s="1252"/>
      <c r="AG78" s="1252"/>
      <c r="AH78" s="1252"/>
      <c r="AI78" s="1252"/>
      <c r="AJ78" s="1252"/>
      <c r="AK78" s="1252"/>
      <c r="AL78" s="1252"/>
      <c r="AM78" s="1252"/>
      <c r="AN78" s="1252"/>
      <c r="AO78" s="1252"/>
      <c r="AP78" s="1252"/>
      <c r="AQ78" s="1252"/>
      <c r="AR78" s="1252"/>
      <c r="AS78" s="480"/>
      <c r="AT78" s="480"/>
    </row>
    <row r="79" spans="1:46" ht="12" customHeight="1">
      <c r="A79" s="427"/>
      <c r="C79" s="481" t="s">
        <v>327</v>
      </c>
      <c r="D79" s="1251" t="s">
        <v>328</v>
      </c>
      <c r="E79" s="1251"/>
      <c r="F79" s="1251"/>
      <c r="G79" s="1251"/>
      <c r="H79" s="1251"/>
      <c r="I79" s="1251"/>
      <c r="J79" s="1251"/>
      <c r="K79" s="1251"/>
      <c r="L79" s="1251"/>
      <c r="M79" s="1251"/>
      <c r="N79" s="1251"/>
      <c r="O79" s="1251"/>
      <c r="P79" s="1251"/>
      <c r="Q79" s="1251"/>
      <c r="R79" s="1251"/>
      <c r="S79" s="1251"/>
      <c r="T79" s="1251"/>
      <c r="U79" s="1251"/>
      <c r="V79" s="1251"/>
      <c r="W79" s="1251"/>
      <c r="X79" s="1251"/>
      <c r="Y79" s="1251"/>
      <c r="Z79" s="1251"/>
      <c r="AA79" s="1251"/>
      <c r="AB79" s="1251"/>
      <c r="AC79" s="1251"/>
      <c r="AD79" s="1251"/>
      <c r="AE79" s="1251"/>
      <c r="AF79" s="1251"/>
      <c r="AG79" s="1251"/>
      <c r="AH79" s="1251"/>
      <c r="AI79" s="1251"/>
      <c r="AJ79" s="1251"/>
      <c r="AK79" s="1251"/>
      <c r="AL79" s="1251"/>
      <c r="AM79" s="1251"/>
      <c r="AN79" s="1251"/>
      <c r="AO79" s="1251"/>
      <c r="AP79" s="1251"/>
      <c r="AQ79" s="1251"/>
      <c r="AR79" s="1251"/>
      <c r="AS79" s="480"/>
      <c r="AT79" s="480"/>
    </row>
    <row r="80" spans="1:46" ht="12" customHeight="1">
      <c r="A80" s="427"/>
      <c r="C80" s="481" t="s">
        <v>329</v>
      </c>
      <c r="D80" s="1251" t="s">
        <v>330</v>
      </c>
      <c r="E80" s="1251"/>
      <c r="F80" s="1251"/>
      <c r="G80" s="1251"/>
      <c r="H80" s="1251"/>
      <c r="I80" s="1251"/>
      <c r="J80" s="1251"/>
      <c r="K80" s="1251"/>
      <c r="L80" s="1251"/>
      <c r="M80" s="1251"/>
      <c r="N80" s="1251"/>
      <c r="O80" s="1251"/>
      <c r="P80" s="1251"/>
      <c r="Q80" s="1251"/>
      <c r="R80" s="1251"/>
      <c r="S80" s="1251"/>
      <c r="T80" s="1251"/>
      <c r="U80" s="1251"/>
      <c r="V80" s="1251"/>
      <c r="W80" s="1251"/>
      <c r="X80" s="1251"/>
      <c r="Y80" s="1251"/>
      <c r="Z80" s="1251"/>
      <c r="AA80" s="1251"/>
      <c r="AB80" s="1251"/>
      <c r="AC80" s="1251"/>
      <c r="AD80" s="1251"/>
      <c r="AE80" s="1251"/>
      <c r="AF80" s="1251"/>
      <c r="AG80" s="1251"/>
      <c r="AH80" s="1251"/>
      <c r="AI80" s="1251"/>
      <c r="AJ80" s="1251"/>
      <c r="AK80" s="1251"/>
      <c r="AL80" s="1251"/>
      <c r="AM80" s="1251"/>
      <c r="AN80" s="1251"/>
      <c r="AO80" s="1251"/>
      <c r="AP80" s="1251"/>
      <c r="AQ80" s="1251"/>
      <c r="AR80" s="1251"/>
      <c r="AS80" s="480"/>
      <c r="AT80" s="480"/>
    </row>
    <row r="81" spans="1:46" ht="12" customHeight="1">
      <c r="A81" s="427"/>
      <c r="C81" s="481"/>
      <c r="D81" s="1251"/>
      <c r="E81" s="1251"/>
      <c r="F81" s="1251"/>
      <c r="G81" s="1251"/>
      <c r="H81" s="1251"/>
      <c r="I81" s="1251"/>
      <c r="J81" s="1251"/>
      <c r="K81" s="1251"/>
      <c r="L81" s="1251"/>
      <c r="M81" s="1251"/>
      <c r="N81" s="1251"/>
      <c r="O81" s="1251"/>
      <c r="P81" s="1251"/>
      <c r="Q81" s="1251"/>
      <c r="R81" s="1251"/>
      <c r="S81" s="1251"/>
      <c r="T81" s="1251"/>
      <c r="U81" s="1251"/>
      <c r="V81" s="1251"/>
      <c r="W81" s="1251"/>
      <c r="X81" s="1251"/>
      <c r="Y81" s="1251"/>
      <c r="Z81" s="1251"/>
      <c r="AA81" s="1251"/>
      <c r="AB81" s="1251"/>
      <c r="AC81" s="1251"/>
      <c r="AD81" s="1251"/>
      <c r="AE81" s="1251"/>
      <c r="AF81" s="1251"/>
      <c r="AG81" s="1251"/>
      <c r="AH81" s="1251"/>
      <c r="AI81" s="1251"/>
      <c r="AJ81" s="1251"/>
      <c r="AK81" s="1251"/>
      <c r="AL81" s="1251"/>
      <c r="AM81" s="1251"/>
      <c r="AN81" s="1251"/>
      <c r="AO81" s="1251"/>
      <c r="AP81" s="1251"/>
      <c r="AQ81" s="1251"/>
      <c r="AR81" s="1251"/>
      <c r="AS81" s="480"/>
      <c r="AT81" s="480"/>
    </row>
    <row r="82" spans="1:46" ht="15" customHeight="1">
      <c r="A82" s="427"/>
      <c r="C82" s="481"/>
      <c r="D82" s="1251"/>
      <c r="E82" s="1251"/>
      <c r="F82" s="1251"/>
      <c r="G82" s="1251"/>
      <c r="H82" s="1251"/>
      <c r="I82" s="1251"/>
      <c r="J82" s="1251"/>
      <c r="K82" s="1251"/>
      <c r="L82" s="1251"/>
      <c r="M82" s="1251"/>
      <c r="N82" s="1251"/>
      <c r="O82" s="1251"/>
      <c r="P82" s="1251"/>
      <c r="Q82" s="1251"/>
      <c r="R82" s="1251"/>
      <c r="S82" s="1251"/>
      <c r="T82" s="1251"/>
      <c r="U82" s="1251"/>
      <c r="V82" s="1251"/>
      <c r="W82" s="1251"/>
      <c r="X82" s="1251"/>
      <c r="Y82" s="1251"/>
      <c r="Z82" s="1251"/>
      <c r="AA82" s="1251"/>
      <c r="AB82" s="1251"/>
      <c r="AC82" s="1251"/>
      <c r="AD82" s="1251"/>
      <c r="AE82" s="1251"/>
      <c r="AF82" s="1251"/>
      <c r="AG82" s="1251"/>
      <c r="AH82" s="1251"/>
      <c r="AI82" s="1251"/>
      <c r="AJ82" s="1251"/>
      <c r="AK82" s="1251"/>
      <c r="AL82" s="1251"/>
      <c r="AM82" s="1251"/>
      <c r="AN82" s="1251"/>
      <c r="AO82" s="1251"/>
      <c r="AP82" s="1251"/>
      <c r="AQ82" s="1251"/>
      <c r="AR82" s="1251"/>
      <c r="AS82" s="480"/>
      <c r="AT82" s="480"/>
    </row>
    <row r="83" spans="1:46" ht="12" customHeight="1">
      <c r="A83" s="427"/>
      <c r="C83" s="481" t="s">
        <v>331</v>
      </c>
      <c r="D83" s="1256" t="s">
        <v>332</v>
      </c>
      <c r="E83" s="1256"/>
      <c r="F83" s="1256"/>
      <c r="G83" s="1256"/>
      <c r="H83" s="1256"/>
      <c r="I83" s="1256"/>
      <c r="J83" s="1256"/>
      <c r="K83" s="1256"/>
      <c r="L83" s="1256"/>
      <c r="M83" s="1256"/>
      <c r="N83" s="1256"/>
      <c r="O83" s="1256"/>
      <c r="P83" s="1256"/>
      <c r="Q83" s="1256"/>
      <c r="R83" s="1256"/>
      <c r="S83" s="1256"/>
      <c r="T83" s="1256"/>
      <c r="U83" s="1256"/>
      <c r="V83" s="1256"/>
      <c r="W83" s="1256"/>
      <c r="X83" s="1256"/>
      <c r="Y83" s="1256"/>
      <c r="Z83" s="1256"/>
      <c r="AA83" s="1256"/>
      <c r="AB83" s="1256"/>
      <c r="AC83" s="1256"/>
      <c r="AD83" s="1256"/>
      <c r="AE83" s="1256"/>
      <c r="AF83" s="1256"/>
      <c r="AG83" s="1256"/>
      <c r="AH83" s="1256"/>
      <c r="AI83" s="1256"/>
      <c r="AJ83" s="1256"/>
      <c r="AK83" s="1256"/>
      <c r="AL83" s="1256"/>
      <c r="AM83" s="1256"/>
      <c r="AN83" s="1256"/>
      <c r="AO83" s="1256"/>
      <c r="AP83" s="1256"/>
      <c r="AQ83" s="1256"/>
      <c r="AR83" s="1256"/>
      <c r="AS83" s="440"/>
      <c r="AT83" s="460"/>
    </row>
    <row r="84" spans="1:46" ht="12" customHeight="1">
      <c r="A84" s="427"/>
      <c r="C84" s="481"/>
      <c r="D84" s="480"/>
      <c r="E84" s="480"/>
      <c r="F84" s="480"/>
      <c r="G84" s="480"/>
      <c r="H84" s="480"/>
      <c r="I84" s="480"/>
      <c r="J84" s="480"/>
      <c r="K84" s="480"/>
      <c r="L84" s="480"/>
      <c r="M84" s="480"/>
      <c r="N84" s="480"/>
      <c r="O84" s="480"/>
      <c r="P84" s="480"/>
      <c r="Q84" s="480"/>
      <c r="R84" s="480"/>
      <c r="S84" s="480"/>
      <c r="T84" s="480"/>
      <c r="U84" s="480"/>
      <c r="V84" s="480"/>
      <c r="W84" s="480"/>
      <c r="X84" s="480"/>
      <c r="Y84" s="480"/>
      <c r="Z84" s="480"/>
      <c r="AA84" s="480"/>
      <c r="AB84" s="480"/>
      <c r="AC84" s="480"/>
      <c r="AD84" s="480"/>
      <c r="AE84" s="480"/>
      <c r="AF84" s="480"/>
      <c r="AG84" s="480"/>
      <c r="AH84" s="480"/>
      <c r="AI84" s="480"/>
      <c r="AJ84" s="480"/>
      <c r="AK84" s="480"/>
      <c r="AL84" s="480"/>
      <c r="AM84" s="480"/>
      <c r="AN84" s="480"/>
      <c r="AO84" s="480"/>
      <c r="AP84" s="480"/>
      <c r="AQ84" s="480"/>
      <c r="AR84" s="480"/>
      <c r="AS84" s="480"/>
      <c r="AT84" s="480"/>
    </row>
    <row r="85" spans="1:46" ht="12" customHeight="1">
      <c r="A85" s="427"/>
      <c r="B85" s="479" t="s">
        <v>333</v>
      </c>
      <c r="C85" s="1259" t="s">
        <v>334</v>
      </c>
      <c r="D85" s="1259"/>
      <c r="E85" s="1259"/>
      <c r="F85" s="1259"/>
      <c r="G85" s="1259"/>
      <c r="H85" s="1259"/>
      <c r="I85" s="1259"/>
      <c r="J85" s="1259"/>
      <c r="K85" s="1259"/>
      <c r="L85" s="1259"/>
      <c r="M85" s="1259"/>
      <c r="N85" s="1259"/>
      <c r="O85" s="1259"/>
      <c r="P85" s="1259"/>
      <c r="Q85" s="1259"/>
      <c r="R85" s="1259"/>
      <c r="S85" s="1259"/>
      <c r="T85" s="1259"/>
      <c r="U85" s="1259"/>
      <c r="V85" s="1259"/>
      <c r="W85" s="1259"/>
      <c r="X85" s="1259"/>
      <c r="Y85" s="1259"/>
      <c r="Z85" s="1259"/>
      <c r="AA85" s="1259"/>
      <c r="AB85" s="1259"/>
      <c r="AC85" s="1259"/>
      <c r="AD85" s="1259"/>
      <c r="AE85" s="1259"/>
      <c r="AF85" s="1259"/>
      <c r="AG85" s="1259"/>
      <c r="AH85" s="1259"/>
      <c r="AI85" s="1259"/>
      <c r="AJ85" s="1259"/>
      <c r="AK85" s="1259"/>
      <c r="AL85" s="1259"/>
      <c r="AM85" s="1259"/>
      <c r="AN85" s="1259"/>
      <c r="AO85" s="1259"/>
      <c r="AP85" s="1259"/>
      <c r="AQ85" s="1259"/>
      <c r="AR85" s="1259"/>
      <c r="AS85" s="483"/>
    </row>
    <row r="86" spans="1:46" ht="12" customHeight="1">
      <c r="A86" s="427"/>
      <c r="C86" s="481" t="s">
        <v>335</v>
      </c>
      <c r="D86" s="1255" t="s">
        <v>336</v>
      </c>
      <c r="E86" s="1255"/>
      <c r="F86" s="1255"/>
      <c r="G86" s="1255"/>
      <c r="H86" s="1255"/>
      <c r="I86" s="1255"/>
      <c r="J86" s="1255"/>
      <c r="K86" s="1255"/>
      <c r="L86" s="1255"/>
      <c r="M86" s="1255"/>
      <c r="N86" s="1255"/>
      <c r="O86" s="1255"/>
      <c r="P86" s="1255"/>
      <c r="Q86" s="1255"/>
      <c r="R86" s="1255"/>
      <c r="S86" s="1255"/>
      <c r="T86" s="1255"/>
      <c r="U86" s="1255"/>
      <c r="V86" s="1255"/>
      <c r="W86" s="1255"/>
      <c r="X86" s="1255"/>
      <c r="Y86" s="1255"/>
      <c r="Z86" s="1255"/>
      <c r="AA86" s="1255"/>
      <c r="AB86" s="1255"/>
      <c r="AC86" s="1255"/>
      <c r="AD86" s="1255"/>
      <c r="AE86" s="1255"/>
      <c r="AF86" s="1255"/>
      <c r="AG86" s="1255"/>
      <c r="AH86" s="1255"/>
      <c r="AI86" s="1255"/>
      <c r="AJ86" s="1255"/>
      <c r="AK86" s="1255"/>
      <c r="AL86" s="1255"/>
      <c r="AM86" s="1255"/>
      <c r="AN86" s="1255"/>
      <c r="AO86" s="1255"/>
      <c r="AP86" s="1255"/>
      <c r="AQ86" s="1255"/>
      <c r="AR86" s="1255"/>
      <c r="AS86" s="482"/>
      <c r="AT86" s="482"/>
    </row>
    <row r="87" spans="1:46" ht="12" customHeight="1">
      <c r="A87" s="427"/>
      <c r="C87" s="481"/>
      <c r="D87" s="1255"/>
      <c r="E87" s="1255"/>
      <c r="F87" s="1255"/>
      <c r="G87" s="1255"/>
      <c r="H87" s="1255"/>
      <c r="I87" s="1255"/>
      <c r="J87" s="1255"/>
      <c r="K87" s="1255"/>
      <c r="L87" s="1255"/>
      <c r="M87" s="1255"/>
      <c r="N87" s="1255"/>
      <c r="O87" s="1255"/>
      <c r="P87" s="1255"/>
      <c r="Q87" s="1255"/>
      <c r="R87" s="1255"/>
      <c r="S87" s="1255"/>
      <c r="T87" s="1255"/>
      <c r="U87" s="1255"/>
      <c r="V87" s="1255"/>
      <c r="W87" s="1255"/>
      <c r="X87" s="1255"/>
      <c r="Y87" s="1255"/>
      <c r="Z87" s="1255"/>
      <c r="AA87" s="1255"/>
      <c r="AB87" s="1255"/>
      <c r="AC87" s="1255"/>
      <c r="AD87" s="1255"/>
      <c r="AE87" s="1255"/>
      <c r="AF87" s="1255"/>
      <c r="AG87" s="1255"/>
      <c r="AH87" s="1255"/>
      <c r="AI87" s="1255"/>
      <c r="AJ87" s="1255"/>
      <c r="AK87" s="1255"/>
      <c r="AL87" s="1255"/>
      <c r="AM87" s="1255"/>
      <c r="AN87" s="1255"/>
      <c r="AO87" s="1255"/>
      <c r="AP87" s="1255"/>
      <c r="AQ87" s="1255"/>
      <c r="AR87" s="1255"/>
      <c r="AS87" s="482"/>
      <c r="AT87" s="482"/>
    </row>
    <row r="88" spans="1:46" ht="12" customHeight="1">
      <c r="A88" s="427"/>
      <c r="C88" s="481"/>
      <c r="D88" s="482"/>
      <c r="E88" s="482"/>
      <c r="F88" s="482"/>
      <c r="G88" s="482"/>
      <c r="H88" s="482"/>
      <c r="I88" s="482"/>
      <c r="J88" s="482"/>
      <c r="K88" s="482"/>
      <c r="L88" s="482"/>
      <c r="M88" s="482"/>
      <c r="N88" s="482"/>
      <c r="O88" s="482"/>
      <c r="P88" s="482"/>
      <c r="Q88" s="482"/>
      <c r="R88" s="482"/>
      <c r="S88" s="482"/>
      <c r="T88" s="482"/>
      <c r="U88" s="482"/>
      <c r="V88" s="482"/>
      <c r="W88" s="482"/>
      <c r="X88" s="482"/>
      <c r="Y88" s="482"/>
      <c r="Z88" s="482"/>
      <c r="AA88" s="482"/>
      <c r="AB88" s="482"/>
      <c r="AC88" s="482"/>
      <c r="AD88" s="482"/>
      <c r="AE88" s="482"/>
      <c r="AF88" s="482"/>
      <c r="AG88" s="482"/>
      <c r="AH88" s="482"/>
      <c r="AI88" s="482"/>
      <c r="AJ88" s="482"/>
      <c r="AK88" s="482"/>
      <c r="AL88" s="482"/>
      <c r="AM88" s="482"/>
      <c r="AN88" s="482"/>
      <c r="AO88" s="482"/>
      <c r="AP88" s="482"/>
      <c r="AQ88" s="482"/>
      <c r="AR88" s="482"/>
      <c r="AS88" s="482"/>
      <c r="AT88" s="482"/>
    </row>
    <row r="89" spans="1:46" ht="12" customHeight="1">
      <c r="A89" s="427"/>
      <c r="C89" s="481" t="s">
        <v>337</v>
      </c>
      <c r="D89" s="1255" t="s">
        <v>338</v>
      </c>
      <c r="E89" s="1255"/>
      <c r="F89" s="1255"/>
      <c r="G89" s="1255"/>
      <c r="H89" s="1255"/>
      <c r="I89" s="1255"/>
      <c r="J89" s="1255"/>
      <c r="K89" s="1255"/>
      <c r="L89" s="1255"/>
      <c r="M89" s="1255"/>
      <c r="N89" s="1255"/>
      <c r="O89" s="1255"/>
      <c r="P89" s="1255"/>
      <c r="Q89" s="1255"/>
      <c r="R89" s="1255"/>
      <c r="S89" s="1255"/>
      <c r="T89" s="1255"/>
      <c r="U89" s="1255"/>
      <c r="V89" s="1255"/>
      <c r="W89" s="1255"/>
      <c r="X89" s="1255"/>
      <c r="Y89" s="1255"/>
      <c r="Z89" s="1255"/>
      <c r="AA89" s="1255"/>
      <c r="AB89" s="1255"/>
      <c r="AC89" s="1255"/>
      <c r="AD89" s="1255"/>
      <c r="AE89" s="1255"/>
      <c r="AF89" s="1255"/>
      <c r="AG89" s="1255"/>
      <c r="AH89" s="1255"/>
      <c r="AI89" s="1255"/>
      <c r="AJ89" s="1255"/>
      <c r="AK89" s="1255"/>
      <c r="AL89" s="1255"/>
      <c r="AM89" s="1255"/>
      <c r="AN89" s="1255"/>
      <c r="AO89" s="1255"/>
      <c r="AP89" s="1255"/>
      <c r="AQ89" s="1255"/>
      <c r="AR89" s="1255"/>
      <c r="AS89" s="482"/>
      <c r="AT89" s="482"/>
    </row>
    <row r="90" spans="1:46" ht="12" customHeight="1">
      <c r="A90" s="427"/>
      <c r="C90" s="481"/>
      <c r="D90" s="460"/>
      <c r="E90" s="460"/>
      <c r="F90" s="460"/>
      <c r="G90" s="460"/>
      <c r="H90" s="460"/>
      <c r="I90" s="460"/>
      <c r="J90" s="460"/>
      <c r="K90" s="460"/>
      <c r="L90" s="460"/>
      <c r="M90" s="460"/>
      <c r="N90" s="460"/>
      <c r="O90" s="460"/>
      <c r="P90" s="460"/>
      <c r="Q90" s="460"/>
      <c r="R90" s="460"/>
      <c r="S90" s="460"/>
      <c r="T90" s="460"/>
      <c r="U90" s="460"/>
      <c r="V90" s="460"/>
      <c r="W90" s="460"/>
      <c r="X90" s="460"/>
      <c r="Y90" s="460"/>
      <c r="Z90" s="460"/>
      <c r="AA90" s="460"/>
      <c r="AB90" s="460"/>
      <c r="AC90" s="460"/>
      <c r="AD90" s="460"/>
      <c r="AE90" s="460"/>
      <c r="AF90" s="460"/>
      <c r="AG90" s="460"/>
      <c r="AH90" s="460"/>
      <c r="AI90" s="460"/>
      <c r="AJ90" s="460"/>
      <c r="AK90" s="460"/>
      <c r="AL90" s="460"/>
      <c r="AM90" s="460"/>
      <c r="AN90" s="460"/>
      <c r="AO90" s="460"/>
      <c r="AP90" s="460"/>
      <c r="AQ90" s="460"/>
      <c r="AR90" s="460"/>
      <c r="AS90" s="460"/>
      <c r="AT90" s="460"/>
    </row>
    <row r="91" spans="1:46" ht="12" customHeight="1">
      <c r="A91" s="427"/>
      <c r="C91" s="481" t="s">
        <v>339</v>
      </c>
      <c r="D91" s="1256" t="s">
        <v>340</v>
      </c>
      <c r="E91" s="1256"/>
      <c r="F91" s="1256"/>
      <c r="G91" s="1256"/>
      <c r="H91" s="1256"/>
      <c r="I91" s="1256"/>
      <c r="J91" s="1256"/>
      <c r="K91" s="1256"/>
      <c r="L91" s="1256"/>
      <c r="M91" s="1256"/>
      <c r="N91" s="1256"/>
      <c r="O91" s="1256"/>
      <c r="P91" s="1256"/>
      <c r="Q91" s="1256"/>
      <c r="R91" s="1256"/>
      <c r="S91" s="1256"/>
      <c r="T91" s="1256"/>
      <c r="U91" s="1256"/>
      <c r="V91" s="1256"/>
      <c r="W91" s="1256"/>
      <c r="X91" s="1256"/>
      <c r="Y91" s="1256"/>
      <c r="Z91" s="1256"/>
      <c r="AA91" s="1256"/>
      <c r="AB91" s="1256"/>
      <c r="AC91" s="1256"/>
      <c r="AD91" s="1256"/>
      <c r="AE91" s="1256"/>
      <c r="AF91" s="1256"/>
      <c r="AG91" s="1256"/>
      <c r="AH91" s="1256"/>
      <c r="AI91" s="1256"/>
      <c r="AJ91" s="1256"/>
      <c r="AK91" s="1256"/>
      <c r="AL91" s="1256"/>
      <c r="AM91" s="1256"/>
      <c r="AN91" s="1256"/>
      <c r="AO91" s="1256"/>
      <c r="AP91" s="1256"/>
      <c r="AQ91" s="1256"/>
      <c r="AR91" s="1256"/>
      <c r="AS91" s="440"/>
      <c r="AT91" s="460"/>
    </row>
    <row r="92" spans="1:46" ht="12" customHeight="1">
      <c r="A92" s="427"/>
      <c r="C92" s="481"/>
      <c r="D92" s="460"/>
      <c r="E92" s="460"/>
      <c r="F92" s="460"/>
      <c r="G92" s="460"/>
      <c r="H92" s="460"/>
      <c r="I92" s="460"/>
      <c r="J92" s="460"/>
      <c r="K92" s="460"/>
      <c r="L92" s="460"/>
      <c r="M92" s="460"/>
      <c r="N92" s="460"/>
      <c r="O92" s="460"/>
      <c r="P92" s="460"/>
      <c r="Q92" s="460"/>
      <c r="R92" s="460"/>
      <c r="S92" s="460"/>
      <c r="T92" s="460"/>
      <c r="U92" s="460"/>
      <c r="V92" s="460"/>
      <c r="W92" s="460"/>
      <c r="X92" s="460"/>
      <c r="Y92" s="460"/>
      <c r="Z92" s="460"/>
      <c r="AA92" s="460"/>
      <c r="AB92" s="460"/>
      <c r="AC92" s="460"/>
      <c r="AD92" s="460"/>
      <c r="AE92" s="460"/>
      <c r="AF92" s="460"/>
      <c r="AG92" s="460"/>
      <c r="AH92" s="460"/>
      <c r="AI92" s="460"/>
      <c r="AJ92" s="460"/>
      <c r="AK92" s="460"/>
      <c r="AL92" s="460"/>
      <c r="AM92" s="460"/>
      <c r="AN92" s="460"/>
      <c r="AO92" s="460"/>
      <c r="AP92" s="460"/>
      <c r="AQ92" s="460"/>
      <c r="AR92" s="460"/>
      <c r="AS92" s="460"/>
      <c r="AT92" s="460"/>
    </row>
    <row r="93" spans="1:46" ht="12" customHeight="1">
      <c r="A93" s="427"/>
      <c r="C93" s="481" t="s">
        <v>341</v>
      </c>
      <c r="D93" s="1256" t="s">
        <v>342</v>
      </c>
      <c r="E93" s="1256"/>
      <c r="F93" s="1256"/>
      <c r="G93" s="1256"/>
      <c r="H93" s="1256"/>
      <c r="I93" s="1256"/>
      <c r="J93" s="1256"/>
      <c r="K93" s="1256"/>
      <c r="L93" s="1256"/>
      <c r="M93" s="1256"/>
      <c r="N93" s="1256"/>
      <c r="O93" s="1256"/>
      <c r="P93" s="1256"/>
      <c r="Q93" s="1256"/>
      <c r="R93" s="1256"/>
      <c r="S93" s="1256"/>
      <c r="T93" s="1256"/>
      <c r="U93" s="1256"/>
      <c r="V93" s="1256"/>
      <c r="W93" s="1256"/>
      <c r="X93" s="1256"/>
      <c r="Y93" s="1256"/>
      <c r="Z93" s="1256"/>
      <c r="AA93" s="1256"/>
      <c r="AB93" s="1256"/>
      <c r="AC93" s="1256"/>
      <c r="AD93" s="1256"/>
      <c r="AE93" s="1256"/>
      <c r="AF93" s="1256"/>
      <c r="AG93" s="1256"/>
      <c r="AH93" s="1256"/>
      <c r="AI93" s="1256"/>
      <c r="AJ93" s="1256"/>
      <c r="AK93" s="1256"/>
      <c r="AL93" s="1256"/>
      <c r="AM93" s="1256"/>
      <c r="AN93" s="1256"/>
      <c r="AO93" s="1256"/>
      <c r="AP93" s="1256"/>
      <c r="AQ93" s="1256"/>
      <c r="AR93" s="1256"/>
      <c r="AS93" s="440"/>
      <c r="AT93" s="460"/>
    </row>
    <row r="94" spans="1:46" ht="12" customHeight="1">
      <c r="A94" s="427"/>
      <c r="C94" s="481"/>
      <c r="D94" s="440"/>
      <c r="E94" s="440"/>
      <c r="F94" s="440"/>
      <c r="G94" s="440"/>
      <c r="H94" s="440"/>
      <c r="I94" s="440"/>
      <c r="J94" s="440"/>
      <c r="K94" s="440"/>
      <c r="L94" s="440"/>
      <c r="M94" s="440"/>
      <c r="N94" s="440"/>
      <c r="O94" s="440"/>
      <c r="P94" s="440"/>
      <c r="Q94" s="440"/>
      <c r="R94" s="440"/>
      <c r="S94" s="440"/>
      <c r="T94" s="440"/>
      <c r="U94" s="440"/>
      <c r="V94" s="440"/>
      <c r="W94" s="440"/>
      <c r="X94" s="440"/>
      <c r="Y94" s="440"/>
      <c r="Z94" s="440"/>
      <c r="AA94" s="440"/>
      <c r="AB94" s="440"/>
      <c r="AC94" s="440"/>
      <c r="AD94" s="440"/>
      <c r="AE94" s="440"/>
      <c r="AF94" s="440"/>
      <c r="AG94" s="440"/>
      <c r="AH94" s="440"/>
      <c r="AI94" s="440"/>
      <c r="AJ94" s="440"/>
      <c r="AK94" s="440"/>
      <c r="AL94" s="440"/>
      <c r="AM94" s="440"/>
      <c r="AN94" s="440"/>
      <c r="AO94" s="440"/>
      <c r="AP94" s="440"/>
      <c r="AQ94" s="440"/>
      <c r="AR94" s="440"/>
      <c r="AS94" s="440"/>
      <c r="AT94" s="460"/>
    </row>
    <row r="95" spans="1:46" s="484" customFormat="1" ht="12" customHeight="1">
      <c r="B95" s="479" t="s">
        <v>343</v>
      </c>
      <c r="C95" s="1259" t="s">
        <v>344</v>
      </c>
      <c r="D95" s="1259"/>
      <c r="E95" s="1259"/>
      <c r="F95" s="1259"/>
      <c r="G95" s="1259"/>
      <c r="H95" s="1259"/>
      <c r="I95" s="1259"/>
      <c r="J95" s="1259"/>
      <c r="K95" s="1259"/>
      <c r="L95" s="1259"/>
      <c r="M95" s="1259"/>
      <c r="N95" s="1259"/>
      <c r="O95" s="1259"/>
      <c r="P95" s="1259"/>
      <c r="Q95" s="1259"/>
      <c r="R95" s="1259"/>
      <c r="S95" s="1259"/>
      <c r="T95" s="1259"/>
      <c r="U95" s="1259"/>
      <c r="V95" s="1259"/>
      <c r="W95" s="1259"/>
      <c r="X95" s="1259"/>
      <c r="Y95" s="1259"/>
      <c r="Z95" s="1259"/>
      <c r="AA95" s="1259"/>
      <c r="AB95" s="1259"/>
      <c r="AC95" s="1259"/>
      <c r="AD95" s="1259"/>
      <c r="AE95" s="1259"/>
      <c r="AF95" s="1259"/>
      <c r="AG95" s="1259"/>
      <c r="AH95" s="1259"/>
      <c r="AI95" s="1259"/>
      <c r="AJ95" s="1259"/>
      <c r="AK95" s="1259"/>
      <c r="AL95" s="1259"/>
      <c r="AM95" s="1259"/>
      <c r="AN95" s="1259"/>
      <c r="AO95" s="1259"/>
      <c r="AP95" s="1259"/>
      <c r="AQ95" s="1259"/>
      <c r="AR95" s="1259"/>
      <c r="AS95" s="485"/>
    </row>
    <row r="96" spans="1:46" ht="12" customHeight="1">
      <c r="A96" s="427"/>
      <c r="C96" s="481" t="s">
        <v>319</v>
      </c>
      <c r="D96" s="1255" t="s">
        <v>345</v>
      </c>
      <c r="E96" s="1255"/>
      <c r="F96" s="1255"/>
      <c r="G96" s="1255"/>
      <c r="H96" s="1255"/>
      <c r="I96" s="1255"/>
      <c r="J96" s="1255"/>
      <c r="K96" s="1255"/>
      <c r="L96" s="1255"/>
      <c r="M96" s="1255"/>
      <c r="N96" s="1255"/>
      <c r="O96" s="1255"/>
      <c r="P96" s="1255"/>
      <c r="Q96" s="1255"/>
      <c r="R96" s="1255"/>
      <c r="S96" s="1255"/>
      <c r="T96" s="1255"/>
      <c r="U96" s="1255"/>
      <c r="V96" s="1255"/>
      <c r="W96" s="1255"/>
      <c r="X96" s="1255"/>
      <c r="Y96" s="1255"/>
      <c r="Z96" s="1255"/>
      <c r="AA96" s="1255"/>
      <c r="AB96" s="1255"/>
      <c r="AC96" s="1255"/>
      <c r="AD96" s="1255"/>
      <c r="AE96" s="1255"/>
      <c r="AF96" s="1255"/>
      <c r="AG96" s="1255"/>
      <c r="AH96" s="1255"/>
      <c r="AI96" s="1255"/>
      <c r="AJ96" s="1255"/>
      <c r="AK96" s="1255"/>
      <c r="AL96" s="1255"/>
      <c r="AM96" s="1255"/>
      <c r="AN96" s="1255"/>
      <c r="AO96" s="1255"/>
      <c r="AP96" s="1255"/>
      <c r="AQ96" s="1255"/>
      <c r="AR96" s="1255"/>
      <c r="AS96" s="482"/>
      <c r="AT96" s="460"/>
    </row>
    <row r="97" spans="1:46" ht="12" customHeight="1">
      <c r="A97" s="427"/>
      <c r="C97" s="481"/>
      <c r="D97" s="1255"/>
      <c r="E97" s="1255"/>
      <c r="F97" s="1255"/>
      <c r="G97" s="1255"/>
      <c r="H97" s="1255"/>
      <c r="I97" s="1255"/>
      <c r="J97" s="1255"/>
      <c r="K97" s="1255"/>
      <c r="L97" s="1255"/>
      <c r="M97" s="1255"/>
      <c r="N97" s="1255"/>
      <c r="O97" s="1255"/>
      <c r="P97" s="1255"/>
      <c r="Q97" s="1255"/>
      <c r="R97" s="1255"/>
      <c r="S97" s="1255"/>
      <c r="T97" s="1255"/>
      <c r="U97" s="1255"/>
      <c r="V97" s="1255"/>
      <c r="W97" s="1255"/>
      <c r="X97" s="1255"/>
      <c r="Y97" s="1255"/>
      <c r="Z97" s="1255"/>
      <c r="AA97" s="1255"/>
      <c r="AB97" s="1255"/>
      <c r="AC97" s="1255"/>
      <c r="AD97" s="1255"/>
      <c r="AE97" s="1255"/>
      <c r="AF97" s="1255"/>
      <c r="AG97" s="1255"/>
      <c r="AH97" s="1255"/>
      <c r="AI97" s="1255"/>
      <c r="AJ97" s="1255"/>
      <c r="AK97" s="1255"/>
      <c r="AL97" s="1255"/>
      <c r="AM97" s="1255"/>
      <c r="AN97" s="1255"/>
      <c r="AO97" s="1255"/>
      <c r="AP97" s="1255"/>
      <c r="AQ97" s="1255"/>
      <c r="AR97" s="1255"/>
      <c r="AS97" s="440"/>
      <c r="AT97" s="460"/>
    </row>
    <row r="98" spans="1:46" ht="12" customHeight="1">
      <c r="A98" s="427"/>
      <c r="C98" s="481"/>
      <c r="D98" s="482"/>
      <c r="E98" s="482"/>
      <c r="F98" s="482"/>
      <c r="G98" s="482"/>
      <c r="H98" s="482"/>
      <c r="I98" s="482"/>
      <c r="J98" s="482"/>
      <c r="K98" s="482"/>
      <c r="L98" s="482"/>
      <c r="M98" s="482"/>
      <c r="N98" s="482"/>
      <c r="O98" s="482"/>
      <c r="P98" s="482"/>
      <c r="Q98" s="482"/>
      <c r="R98" s="482"/>
      <c r="S98" s="482"/>
      <c r="T98" s="482"/>
      <c r="U98" s="482"/>
      <c r="V98" s="482"/>
      <c r="W98" s="482"/>
      <c r="X98" s="482"/>
      <c r="Y98" s="482"/>
      <c r="Z98" s="482"/>
      <c r="AA98" s="482"/>
      <c r="AB98" s="482"/>
      <c r="AC98" s="482"/>
      <c r="AD98" s="482"/>
      <c r="AE98" s="482"/>
      <c r="AF98" s="482"/>
      <c r="AG98" s="482"/>
      <c r="AH98" s="482"/>
      <c r="AI98" s="482"/>
      <c r="AJ98" s="482"/>
      <c r="AK98" s="482"/>
      <c r="AL98" s="482"/>
      <c r="AM98" s="482"/>
      <c r="AN98" s="482"/>
      <c r="AO98" s="482"/>
      <c r="AP98" s="482"/>
      <c r="AQ98" s="482"/>
      <c r="AR98" s="482"/>
      <c r="AS98" s="440"/>
      <c r="AT98" s="460"/>
    </row>
    <row r="99" spans="1:46" ht="12" customHeight="1">
      <c r="A99" s="427"/>
      <c r="C99" s="481" t="s">
        <v>337</v>
      </c>
      <c r="D99" s="1257" t="s">
        <v>346</v>
      </c>
      <c r="E99" s="1257"/>
      <c r="F99" s="1257"/>
      <c r="G99" s="1257"/>
      <c r="H99" s="1257"/>
      <c r="I99" s="1257"/>
      <c r="J99" s="1257"/>
      <c r="K99" s="1257"/>
      <c r="L99" s="1257"/>
      <c r="M99" s="1257"/>
      <c r="N99" s="1257"/>
      <c r="O99" s="1257"/>
      <c r="P99" s="1257"/>
      <c r="Q99" s="1257"/>
      <c r="R99" s="1257"/>
      <c r="S99" s="1257"/>
      <c r="T99" s="1257"/>
      <c r="U99" s="1257"/>
      <c r="V99" s="1257"/>
      <c r="W99" s="1257"/>
      <c r="X99" s="1257"/>
      <c r="Y99" s="1257"/>
      <c r="Z99" s="1257"/>
      <c r="AA99" s="1257"/>
      <c r="AB99" s="1257"/>
      <c r="AC99" s="1257"/>
      <c r="AD99" s="1257"/>
      <c r="AE99" s="1257"/>
      <c r="AF99" s="1257"/>
      <c r="AG99" s="1257"/>
      <c r="AH99" s="1257"/>
      <c r="AI99" s="1257"/>
      <c r="AJ99" s="1257"/>
      <c r="AK99" s="1257"/>
      <c r="AL99" s="1257"/>
      <c r="AM99" s="1257"/>
      <c r="AN99" s="1257"/>
      <c r="AO99" s="1257"/>
      <c r="AP99" s="1257"/>
      <c r="AQ99" s="1257"/>
      <c r="AR99" s="1257"/>
      <c r="AS99" s="440"/>
      <c r="AT99" s="460"/>
    </row>
    <row r="100" spans="1:46" ht="12" customHeight="1">
      <c r="A100" s="427"/>
      <c r="C100" s="481"/>
      <c r="D100" s="482"/>
      <c r="E100" s="482"/>
      <c r="F100" s="482"/>
      <c r="G100" s="482"/>
      <c r="H100" s="482"/>
      <c r="I100" s="482"/>
      <c r="J100" s="482"/>
      <c r="K100" s="482"/>
      <c r="L100" s="482"/>
      <c r="M100" s="482"/>
      <c r="N100" s="482"/>
      <c r="O100" s="482"/>
      <c r="P100" s="482"/>
      <c r="Q100" s="482"/>
      <c r="R100" s="482"/>
      <c r="S100" s="482"/>
      <c r="T100" s="482"/>
      <c r="U100" s="482"/>
      <c r="V100" s="482"/>
      <c r="W100" s="482"/>
      <c r="X100" s="482"/>
      <c r="Y100" s="482"/>
      <c r="Z100" s="482"/>
      <c r="AA100" s="482"/>
      <c r="AB100" s="482"/>
      <c r="AC100" s="482"/>
      <c r="AD100" s="482"/>
      <c r="AE100" s="482"/>
      <c r="AF100" s="482"/>
      <c r="AG100" s="482"/>
      <c r="AH100" s="482"/>
      <c r="AI100" s="482"/>
      <c r="AJ100" s="482"/>
      <c r="AK100" s="482"/>
      <c r="AL100" s="482"/>
      <c r="AM100" s="482"/>
      <c r="AN100" s="482"/>
      <c r="AO100" s="482"/>
      <c r="AP100" s="482"/>
      <c r="AQ100" s="482"/>
      <c r="AR100" s="482"/>
      <c r="AS100" s="440"/>
      <c r="AT100" s="460"/>
    </row>
    <row r="101" spans="1:46" ht="12" customHeight="1">
      <c r="A101" s="427"/>
      <c r="C101" s="481" t="s">
        <v>347</v>
      </c>
      <c r="D101" s="1256" t="s">
        <v>348</v>
      </c>
      <c r="E101" s="1256"/>
      <c r="F101" s="1256"/>
      <c r="G101" s="1256"/>
      <c r="H101" s="1256"/>
      <c r="I101" s="1256"/>
      <c r="J101" s="1256"/>
      <c r="K101" s="1256"/>
      <c r="L101" s="1256"/>
      <c r="M101" s="1256"/>
      <c r="N101" s="1256"/>
      <c r="O101" s="1256"/>
      <c r="P101" s="1256"/>
      <c r="Q101" s="1256"/>
      <c r="R101" s="1256"/>
      <c r="S101" s="1256"/>
      <c r="T101" s="1256"/>
      <c r="U101" s="1256"/>
      <c r="V101" s="1256"/>
      <c r="W101" s="1256"/>
      <c r="X101" s="1256"/>
      <c r="Y101" s="1256"/>
      <c r="Z101" s="1256"/>
      <c r="AA101" s="1256"/>
      <c r="AB101" s="1256"/>
      <c r="AC101" s="1256"/>
      <c r="AD101" s="1256"/>
      <c r="AE101" s="1256"/>
      <c r="AF101" s="1256"/>
      <c r="AG101" s="1256"/>
      <c r="AH101" s="1256"/>
      <c r="AI101" s="1256"/>
      <c r="AJ101" s="1256"/>
      <c r="AK101" s="1256"/>
      <c r="AL101" s="1256"/>
      <c r="AM101" s="1256"/>
      <c r="AN101" s="1256"/>
      <c r="AO101" s="1256"/>
      <c r="AP101" s="1256"/>
      <c r="AQ101" s="1256"/>
      <c r="AR101" s="1256"/>
      <c r="AS101" s="440"/>
      <c r="AT101" s="460"/>
    </row>
    <row r="102" spans="1:46" ht="12" customHeight="1">
      <c r="A102" s="427"/>
      <c r="C102" s="481"/>
      <c r="D102" s="440"/>
      <c r="E102" s="440"/>
      <c r="F102" s="440"/>
      <c r="G102" s="440"/>
      <c r="H102" s="440"/>
      <c r="I102" s="440"/>
      <c r="J102" s="440"/>
      <c r="K102" s="440"/>
      <c r="L102" s="440"/>
      <c r="M102" s="440"/>
      <c r="N102" s="440"/>
      <c r="O102" s="440"/>
      <c r="P102" s="440"/>
      <c r="Q102" s="440"/>
      <c r="R102" s="440"/>
      <c r="S102" s="440"/>
      <c r="T102" s="440"/>
      <c r="U102" s="440"/>
      <c r="V102" s="440"/>
      <c r="W102" s="440"/>
      <c r="X102" s="440"/>
      <c r="Y102" s="440"/>
      <c r="Z102" s="440"/>
      <c r="AA102" s="440"/>
      <c r="AB102" s="440"/>
      <c r="AC102" s="440"/>
      <c r="AD102" s="440"/>
      <c r="AE102" s="440"/>
      <c r="AF102" s="440"/>
      <c r="AG102" s="440"/>
      <c r="AH102" s="440"/>
      <c r="AI102" s="440"/>
      <c r="AJ102" s="440"/>
      <c r="AK102" s="440"/>
      <c r="AL102" s="440"/>
      <c r="AM102" s="440"/>
      <c r="AN102" s="440"/>
      <c r="AO102" s="440"/>
      <c r="AP102" s="440"/>
      <c r="AQ102" s="440"/>
      <c r="AR102" s="440"/>
      <c r="AS102" s="440"/>
      <c r="AT102" s="460"/>
    </row>
    <row r="103" spans="1:46" ht="12" customHeight="1">
      <c r="A103" s="427"/>
      <c r="C103" s="481" t="s">
        <v>327</v>
      </c>
      <c r="D103" s="1256" t="s">
        <v>349</v>
      </c>
      <c r="E103" s="1256"/>
      <c r="F103" s="1256"/>
      <c r="G103" s="1256"/>
      <c r="H103" s="1256"/>
      <c r="I103" s="1256"/>
      <c r="J103" s="1256"/>
      <c r="K103" s="1256"/>
      <c r="L103" s="1256"/>
      <c r="M103" s="1256"/>
      <c r="N103" s="1256"/>
      <c r="O103" s="1256"/>
      <c r="P103" s="1256"/>
      <c r="Q103" s="1256"/>
      <c r="R103" s="1256"/>
      <c r="S103" s="1256"/>
      <c r="T103" s="1256"/>
      <c r="U103" s="1256"/>
      <c r="V103" s="1256"/>
      <c r="W103" s="1256"/>
      <c r="X103" s="1256"/>
      <c r="Y103" s="1256"/>
      <c r="Z103" s="1256"/>
      <c r="AA103" s="1256"/>
      <c r="AB103" s="1256"/>
      <c r="AC103" s="1256"/>
      <c r="AD103" s="1256"/>
      <c r="AE103" s="1256"/>
      <c r="AF103" s="1256"/>
      <c r="AG103" s="1256"/>
      <c r="AH103" s="1256"/>
      <c r="AI103" s="1256"/>
      <c r="AJ103" s="1256"/>
      <c r="AK103" s="1256"/>
      <c r="AL103" s="1256"/>
      <c r="AM103" s="1256"/>
      <c r="AN103" s="1256"/>
      <c r="AO103" s="1256"/>
      <c r="AP103" s="1256"/>
      <c r="AQ103" s="1256"/>
      <c r="AR103" s="1256"/>
      <c r="AS103" s="440"/>
      <c r="AT103" s="460"/>
    </row>
    <row r="104" spans="1:46" ht="12" customHeight="1">
      <c r="A104" s="427"/>
      <c r="C104" s="481"/>
      <c r="D104" s="460"/>
      <c r="E104" s="460"/>
      <c r="F104" s="460"/>
      <c r="G104" s="460"/>
      <c r="H104" s="460"/>
      <c r="I104" s="460"/>
      <c r="J104" s="460"/>
      <c r="K104" s="460"/>
      <c r="L104" s="460"/>
      <c r="M104" s="460"/>
      <c r="N104" s="460"/>
      <c r="O104" s="460"/>
      <c r="P104" s="460"/>
      <c r="Q104" s="460"/>
      <c r="R104" s="460"/>
      <c r="S104" s="460"/>
      <c r="T104" s="460"/>
      <c r="U104" s="460"/>
      <c r="V104" s="460"/>
      <c r="W104" s="460"/>
      <c r="X104" s="460"/>
      <c r="Y104" s="460"/>
      <c r="Z104" s="460"/>
      <c r="AA104" s="460"/>
      <c r="AB104" s="460"/>
      <c r="AC104" s="460"/>
      <c r="AD104" s="460"/>
      <c r="AE104" s="460"/>
      <c r="AF104" s="460"/>
      <c r="AG104" s="460"/>
      <c r="AH104" s="460"/>
      <c r="AI104" s="460"/>
      <c r="AJ104" s="460"/>
      <c r="AK104" s="460"/>
      <c r="AL104" s="460"/>
      <c r="AM104" s="460"/>
      <c r="AN104" s="460"/>
      <c r="AO104" s="460"/>
      <c r="AP104" s="460"/>
      <c r="AQ104" s="460"/>
      <c r="AR104" s="460"/>
      <c r="AS104" s="460"/>
      <c r="AT104" s="460"/>
    </row>
    <row r="105" spans="1:46" ht="12" customHeight="1">
      <c r="A105" s="427"/>
      <c r="B105" s="479" t="s">
        <v>350</v>
      </c>
      <c r="C105" s="1258" t="s">
        <v>351</v>
      </c>
      <c r="D105" s="1258"/>
      <c r="E105" s="1258"/>
      <c r="F105" s="1258"/>
      <c r="G105" s="1258"/>
      <c r="H105" s="1258"/>
      <c r="I105" s="1258"/>
      <c r="J105" s="1258"/>
      <c r="K105" s="1258"/>
      <c r="L105" s="1258"/>
      <c r="M105" s="1258"/>
      <c r="N105" s="1258"/>
      <c r="O105" s="1258"/>
      <c r="P105" s="1258"/>
      <c r="Q105" s="1258"/>
      <c r="R105" s="1258"/>
      <c r="S105" s="1258"/>
      <c r="T105" s="1258"/>
      <c r="U105" s="1258"/>
      <c r="V105" s="1258"/>
      <c r="W105" s="1258"/>
      <c r="X105" s="1258"/>
      <c r="Y105" s="1258"/>
      <c r="Z105" s="1258"/>
      <c r="AA105" s="1258"/>
      <c r="AB105" s="1258"/>
      <c r="AC105" s="1258"/>
      <c r="AD105" s="1258"/>
      <c r="AE105" s="1258"/>
      <c r="AF105" s="1258"/>
      <c r="AG105" s="1258"/>
      <c r="AH105" s="1258"/>
      <c r="AI105" s="1258"/>
      <c r="AJ105" s="1258"/>
      <c r="AK105" s="1258"/>
      <c r="AL105" s="1258"/>
      <c r="AM105" s="1258"/>
      <c r="AN105" s="1258"/>
      <c r="AO105" s="1258"/>
      <c r="AP105" s="1258"/>
      <c r="AQ105" s="1258"/>
      <c r="AR105" s="1258"/>
      <c r="AS105" s="486"/>
    </row>
    <row r="106" spans="1:46" ht="12" customHeight="1">
      <c r="A106" s="427"/>
      <c r="C106" s="481" t="s">
        <v>335</v>
      </c>
      <c r="D106" s="1255" t="s">
        <v>352</v>
      </c>
      <c r="E106" s="1255"/>
      <c r="F106" s="1255"/>
      <c r="G106" s="1255"/>
      <c r="H106" s="1255"/>
      <c r="I106" s="1255"/>
      <c r="J106" s="1255"/>
      <c r="K106" s="1255"/>
      <c r="L106" s="1255"/>
      <c r="M106" s="1255"/>
      <c r="N106" s="1255"/>
      <c r="O106" s="1255"/>
      <c r="P106" s="1255"/>
      <c r="Q106" s="1255"/>
      <c r="R106" s="1255"/>
      <c r="S106" s="1255"/>
      <c r="T106" s="1255"/>
      <c r="U106" s="1255"/>
      <c r="V106" s="1255"/>
      <c r="W106" s="1255"/>
      <c r="X106" s="1255"/>
      <c r="Y106" s="1255"/>
      <c r="Z106" s="1255"/>
      <c r="AA106" s="1255"/>
      <c r="AB106" s="1255"/>
      <c r="AC106" s="1255"/>
      <c r="AD106" s="1255"/>
      <c r="AE106" s="1255"/>
      <c r="AF106" s="1255"/>
      <c r="AG106" s="1255"/>
      <c r="AH106" s="1255"/>
      <c r="AI106" s="1255"/>
      <c r="AJ106" s="1255"/>
      <c r="AK106" s="1255"/>
      <c r="AL106" s="1255"/>
      <c r="AM106" s="1255"/>
      <c r="AN106" s="1255"/>
      <c r="AO106" s="1255"/>
      <c r="AP106" s="1255"/>
      <c r="AQ106" s="1255"/>
      <c r="AR106" s="1255"/>
      <c r="AS106" s="482"/>
      <c r="AT106" s="482"/>
    </row>
    <row r="107" spans="1:46" ht="12" customHeight="1">
      <c r="A107" s="427"/>
      <c r="C107" s="481"/>
      <c r="D107" s="1255"/>
      <c r="E107" s="1255"/>
      <c r="F107" s="1255"/>
      <c r="G107" s="1255"/>
      <c r="H107" s="1255"/>
      <c r="I107" s="1255"/>
      <c r="J107" s="1255"/>
      <c r="K107" s="1255"/>
      <c r="L107" s="1255"/>
      <c r="M107" s="1255"/>
      <c r="N107" s="1255"/>
      <c r="O107" s="1255"/>
      <c r="P107" s="1255"/>
      <c r="Q107" s="1255"/>
      <c r="R107" s="1255"/>
      <c r="S107" s="1255"/>
      <c r="T107" s="1255"/>
      <c r="U107" s="1255"/>
      <c r="V107" s="1255"/>
      <c r="W107" s="1255"/>
      <c r="X107" s="1255"/>
      <c r="Y107" s="1255"/>
      <c r="Z107" s="1255"/>
      <c r="AA107" s="1255"/>
      <c r="AB107" s="1255"/>
      <c r="AC107" s="1255"/>
      <c r="AD107" s="1255"/>
      <c r="AE107" s="1255"/>
      <c r="AF107" s="1255"/>
      <c r="AG107" s="1255"/>
      <c r="AH107" s="1255"/>
      <c r="AI107" s="1255"/>
      <c r="AJ107" s="1255"/>
      <c r="AK107" s="1255"/>
      <c r="AL107" s="1255"/>
      <c r="AM107" s="1255"/>
      <c r="AN107" s="1255"/>
      <c r="AO107" s="1255"/>
      <c r="AP107" s="1255"/>
      <c r="AQ107" s="1255"/>
      <c r="AR107" s="1255"/>
      <c r="AS107" s="482"/>
      <c r="AT107" s="482"/>
    </row>
    <row r="108" spans="1:46" ht="12" customHeight="1">
      <c r="A108" s="427"/>
      <c r="C108" s="481"/>
      <c r="D108" s="482"/>
      <c r="E108" s="482"/>
      <c r="F108" s="482"/>
      <c r="G108" s="482"/>
      <c r="H108" s="482"/>
      <c r="I108" s="482"/>
      <c r="J108" s="482"/>
      <c r="K108" s="482"/>
      <c r="L108" s="482"/>
      <c r="M108" s="482"/>
      <c r="N108" s="482"/>
      <c r="O108" s="482"/>
      <c r="P108" s="482"/>
      <c r="Q108" s="482"/>
      <c r="R108" s="482"/>
      <c r="S108" s="482"/>
      <c r="T108" s="482"/>
      <c r="U108" s="482"/>
      <c r="V108" s="482"/>
      <c r="W108" s="482"/>
      <c r="X108" s="482"/>
      <c r="Y108" s="482"/>
      <c r="Z108" s="482"/>
      <c r="AA108" s="482"/>
      <c r="AB108" s="482"/>
      <c r="AC108" s="482"/>
      <c r="AD108" s="482"/>
      <c r="AE108" s="482"/>
      <c r="AF108" s="482"/>
      <c r="AG108" s="482"/>
      <c r="AH108" s="482"/>
      <c r="AI108" s="482"/>
      <c r="AJ108" s="482"/>
      <c r="AK108" s="482"/>
      <c r="AL108" s="482"/>
      <c r="AM108" s="482"/>
      <c r="AN108" s="482"/>
      <c r="AO108" s="482"/>
      <c r="AP108" s="482"/>
      <c r="AQ108" s="482"/>
      <c r="AR108" s="482"/>
      <c r="AS108" s="482"/>
      <c r="AT108" s="482"/>
    </row>
    <row r="109" spans="1:46" ht="12" customHeight="1">
      <c r="A109" s="427"/>
      <c r="C109" s="481" t="s">
        <v>353</v>
      </c>
      <c r="D109" s="1255" t="s">
        <v>338</v>
      </c>
      <c r="E109" s="1255"/>
      <c r="F109" s="1255"/>
      <c r="G109" s="1255"/>
      <c r="H109" s="1255"/>
      <c r="I109" s="1255"/>
      <c r="J109" s="1255"/>
      <c r="K109" s="1255"/>
      <c r="L109" s="1255"/>
      <c r="M109" s="1255"/>
      <c r="N109" s="1255"/>
      <c r="O109" s="1255"/>
      <c r="P109" s="1255"/>
      <c r="Q109" s="1255"/>
      <c r="R109" s="1255"/>
      <c r="S109" s="1255"/>
      <c r="T109" s="1255"/>
      <c r="U109" s="1255"/>
      <c r="V109" s="1255"/>
      <c r="W109" s="1255"/>
      <c r="X109" s="1255"/>
      <c r="Y109" s="1255"/>
      <c r="Z109" s="1255"/>
      <c r="AA109" s="1255"/>
      <c r="AB109" s="1255"/>
      <c r="AC109" s="1255"/>
      <c r="AD109" s="1255"/>
      <c r="AE109" s="1255"/>
      <c r="AF109" s="1255"/>
      <c r="AG109" s="1255"/>
      <c r="AH109" s="1255"/>
      <c r="AI109" s="1255"/>
      <c r="AJ109" s="1255"/>
      <c r="AK109" s="1255"/>
      <c r="AL109" s="1255"/>
      <c r="AM109" s="1255"/>
      <c r="AN109" s="1255"/>
      <c r="AO109" s="1255"/>
      <c r="AP109" s="1255"/>
      <c r="AQ109" s="1255"/>
      <c r="AR109" s="1255"/>
      <c r="AS109" s="482"/>
      <c r="AT109" s="482"/>
    </row>
    <row r="110" spans="1:46" ht="12" customHeight="1">
      <c r="A110" s="427"/>
      <c r="C110" s="481"/>
      <c r="D110" s="460"/>
      <c r="E110" s="460"/>
      <c r="F110" s="460"/>
      <c r="G110" s="460"/>
      <c r="H110" s="460"/>
      <c r="I110" s="460"/>
      <c r="J110" s="460"/>
      <c r="K110" s="460"/>
      <c r="L110" s="460"/>
      <c r="M110" s="460"/>
      <c r="N110" s="460"/>
      <c r="O110" s="460"/>
      <c r="P110" s="460"/>
      <c r="Q110" s="460"/>
      <c r="R110" s="460"/>
      <c r="S110" s="460"/>
      <c r="T110" s="460"/>
      <c r="U110" s="460"/>
      <c r="V110" s="460"/>
      <c r="W110" s="460"/>
      <c r="X110" s="460"/>
      <c r="Y110" s="460"/>
      <c r="Z110" s="460"/>
      <c r="AA110" s="460"/>
      <c r="AB110" s="460"/>
      <c r="AC110" s="460"/>
      <c r="AD110" s="460"/>
      <c r="AE110" s="460"/>
      <c r="AF110" s="460"/>
      <c r="AG110" s="460"/>
      <c r="AH110" s="460"/>
      <c r="AI110" s="460"/>
      <c r="AJ110" s="460"/>
      <c r="AK110" s="460"/>
      <c r="AL110" s="460"/>
      <c r="AM110" s="460"/>
      <c r="AN110" s="460"/>
      <c r="AO110" s="460"/>
      <c r="AP110" s="460"/>
      <c r="AQ110" s="460"/>
      <c r="AR110" s="460"/>
      <c r="AS110" s="460"/>
      <c r="AT110" s="460"/>
    </row>
    <row r="111" spans="1:46" ht="12" customHeight="1">
      <c r="A111" s="427"/>
      <c r="C111" s="481" t="s">
        <v>339</v>
      </c>
      <c r="D111" s="1256" t="s">
        <v>340</v>
      </c>
      <c r="E111" s="1256"/>
      <c r="F111" s="1256"/>
      <c r="G111" s="1256"/>
      <c r="H111" s="1256"/>
      <c r="I111" s="1256"/>
      <c r="J111" s="1256"/>
      <c r="K111" s="1256"/>
      <c r="L111" s="1256"/>
      <c r="M111" s="1256"/>
      <c r="N111" s="1256"/>
      <c r="O111" s="1256"/>
      <c r="P111" s="1256"/>
      <c r="Q111" s="1256"/>
      <c r="R111" s="1256"/>
      <c r="S111" s="1256"/>
      <c r="T111" s="1256"/>
      <c r="U111" s="1256"/>
      <c r="V111" s="1256"/>
      <c r="W111" s="1256"/>
      <c r="X111" s="1256"/>
      <c r="Y111" s="1256"/>
      <c r="Z111" s="1256"/>
      <c r="AA111" s="1256"/>
      <c r="AB111" s="1256"/>
      <c r="AC111" s="1256"/>
      <c r="AD111" s="1256"/>
      <c r="AE111" s="1256"/>
      <c r="AF111" s="1256"/>
      <c r="AG111" s="1256"/>
      <c r="AH111" s="1256"/>
      <c r="AI111" s="1256"/>
      <c r="AJ111" s="1256"/>
      <c r="AK111" s="1256"/>
      <c r="AL111" s="1256"/>
      <c r="AM111" s="1256"/>
      <c r="AN111" s="1256"/>
      <c r="AO111" s="1256"/>
      <c r="AP111" s="1256"/>
      <c r="AQ111" s="1256"/>
      <c r="AR111" s="1256"/>
      <c r="AS111" s="440"/>
      <c r="AT111" s="460"/>
    </row>
    <row r="112" spans="1:46" ht="12" customHeight="1">
      <c r="A112" s="427"/>
      <c r="C112" s="481"/>
      <c r="D112" s="440"/>
      <c r="E112" s="440"/>
      <c r="F112" s="440"/>
      <c r="G112" s="440"/>
      <c r="H112" s="440"/>
      <c r="I112" s="440"/>
      <c r="J112" s="440"/>
      <c r="K112" s="440"/>
      <c r="L112" s="440"/>
      <c r="M112" s="440"/>
      <c r="N112" s="440"/>
      <c r="O112" s="440"/>
      <c r="P112" s="440"/>
      <c r="Q112" s="440"/>
      <c r="R112" s="440"/>
      <c r="S112" s="440"/>
      <c r="T112" s="440"/>
      <c r="U112" s="440"/>
      <c r="V112" s="440"/>
      <c r="W112" s="440"/>
      <c r="X112" s="440"/>
      <c r="Y112" s="440"/>
      <c r="Z112" s="440"/>
      <c r="AA112" s="440"/>
      <c r="AB112" s="440"/>
      <c r="AC112" s="440"/>
      <c r="AD112" s="440"/>
      <c r="AE112" s="440"/>
      <c r="AF112" s="440"/>
      <c r="AG112" s="440"/>
      <c r="AH112" s="440"/>
      <c r="AI112" s="440"/>
      <c r="AJ112" s="440"/>
      <c r="AK112" s="440"/>
      <c r="AL112" s="440"/>
      <c r="AM112" s="440"/>
      <c r="AN112" s="440"/>
      <c r="AO112" s="440"/>
      <c r="AP112" s="440"/>
      <c r="AQ112" s="440"/>
      <c r="AR112" s="440"/>
      <c r="AS112" s="440"/>
      <c r="AT112" s="460"/>
    </row>
    <row r="113" spans="1:46" ht="12" customHeight="1">
      <c r="A113" s="427"/>
      <c r="C113" s="481" t="s">
        <v>341</v>
      </c>
      <c r="D113" s="1256" t="s">
        <v>354</v>
      </c>
      <c r="E113" s="1256"/>
      <c r="F113" s="1256"/>
      <c r="G113" s="1256"/>
      <c r="H113" s="1256"/>
      <c r="I113" s="1256"/>
      <c r="J113" s="1256"/>
      <c r="K113" s="1256"/>
      <c r="L113" s="1256"/>
      <c r="M113" s="1256"/>
      <c r="N113" s="1256"/>
      <c r="O113" s="1256"/>
      <c r="P113" s="1256"/>
      <c r="Q113" s="1256"/>
      <c r="R113" s="1256"/>
      <c r="S113" s="1256"/>
      <c r="T113" s="1256"/>
      <c r="U113" s="1256"/>
      <c r="V113" s="1256"/>
      <c r="W113" s="1256"/>
      <c r="X113" s="1256"/>
      <c r="Y113" s="1256"/>
      <c r="Z113" s="1256"/>
      <c r="AA113" s="1256"/>
      <c r="AB113" s="1256"/>
      <c r="AC113" s="1256"/>
      <c r="AD113" s="1256"/>
      <c r="AE113" s="1256"/>
      <c r="AF113" s="1256"/>
      <c r="AG113" s="1256"/>
      <c r="AH113" s="1256"/>
      <c r="AI113" s="1256"/>
      <c r="AJ113" s="1256"/>
      <c r="AK113" s="1256"/>
      <c r="AL113" s="1256"/>
      <c r="AM113" s="1256"/>
      <c r="AN113" s="1256"/>
      <c r="AO113" s="1256"/>
      <c r="AP113" s="1256"/>
      <c r="AQ113" s="1256"/>
      <c r="AR113" s="1256"/>
      <c r="AS113" s="440"/>
      <c r="AT113" s="460"/>
    </row>
    <row r="114" spans="1:46" ht="12" customHeight="1">
      <c r="A114" s="427"/>
      <c r="C114" s="481"/>
      <c r="D114" s="440"/>
      <c r="E114" s="440"/>
      <c r="F114" s="440"/>
      <c r="G114" s="440"/>
      <c r="H114" s="440"/>
      <c r="I114" s="440"/>
      <c r="J114" s="440"/>
      <c r="K114" s="440"/>
      <c r="L114" s="440"/>
      <c r="M114" s="440"/>
      <c r="N114" s="440"/>
      <c r="O114" s="440"/>
      <c r="P114" s="440"/>
      <c r="Q114" s="440"/>
      <c r="R114" s="440"/>
      <c r="S114" s="440"/>
      <c r="T114" s="440"/>
      <c r="U114" s="440"/>
      <c r="V114" s="440"/>
      <c r="W114" s="440"/>
      <c r="X114" s="440"/>
      <c r="Y114" s="440"/>
      <c r="Z114" s="440"/>
      <c r="AA114" s="440"/>
      <c r="AB114" s="440"/>
      <c r="AC114" s="440"/>
      <c r="AD114" s="440"/>
      <c r="AE114" s="440"/>
      <c r="AF114" s="440"/>
      <c r="AG114" s="440"/>
      <c r="AH114" s="440"/>
      <c r="AI114" s="440"/>
      <c r="AJ114" s="440"/>
      <c r="AK114" s="440"/>
      <c r="AL114" s="440"/>
      <c r="AM114" s="440"/>
      <c r="AN114" s="440"/>
      <c r="AO114" s="440"/>
      <c r="AP114" s="440"/>
      <c r="AQ114" s="440"/>
      <c r="AR114" s="440"/>
      <c r="AS114" s="440"/>
      <c r="AT114" s="460"/>
    </row>
    <row r="115" spans="1:46" ht="12" customHeight="1">
      <c r="A115" s="427"/>
      <c r="C115" s="481" t="s">
        <v>355</v>
      </c>
      <c r="D115" s="1255" t="s">
        <v>356</v>
      </c>
      <c r="E115" s="1255"/>
      <c r="F115" s="1255"/>
      <c r="G115" s="1255"/>
      <c r="H115" s="1255"/>
      <c r="I115" s="1255"/>
      <c r="J115" s="1255"/>
      <c r="K115" s="1255"/>
      <c r="L115" s="1255"/>
      <c r="M115" s="1255"/>
      <c r="N115" s="1255"/>
      <c r="O115" s="1255"/>
      <c r="P115" s="1255"/>
      <c r="Q115" s="1255"/>
      <c r="R115" s="1255"/>
      <c r="S115" s="1255"/>
      <c r="T115" s="1255"/>
      <c r="U115" s="1255"/>
      <c r="V115" s="1255"/>
      <c r="W115" s="1255"/>
      <c r="X115" s="1255"/>
      <c r="Y115" s="1255"/>
      <c r="Z115" s="1255"/>
      <c r="AA115" s="1255"/>
      <c r="AB115" s="1255"/>
      <c r="AC115" s="1255"/>
      <c r="AD115" s="1255"/>
      <c r="AE115" s="1255"/>
      <c r="AF115" s="1255"/>
      <c r="AG115" s="1255"/>
      <c r="AH115" s="1255"/>
      <c r="AI115" s="1255"/>
      <c r="AJ115" s="1255"/>
      <c r="AK115" s="1255"/>
      <c r="AL115" s="1255"/>
      <c r="AM115" s="1255"/>
      <c r="AN115" s="1255"/>
      <c r="AO115" s="1255"/>
      <c r="AP115" s="1255"/>
      <c r="AQ115" s="1255"/>
      <c r="AR115" s="1255"/>
      <c r="AS115" s="482"/>
      <c r="AT115" s="460"/>
    </row>
    <row r="116" spans="1:46" ht="12" customHeight="1">
      <c r="A116" s="427"/>
      <c r="C116" s="481"/>
      <c r="D116" s="482"/>
      <c r="E116" s="482"/>
      <c r="F116" s="482"/>
      <c r="G116" s="482"/>
      <c r="H116" s="482"/>
      <c r="I116" s="482"/>
      <c r="J116" s="482"/>
      <c r="K116" s="482"/>
      <c r="L116" s="482"/>
      <c r="M116" s="482"/>
      <c r="N116" s="482"/>
      <c r="O116" s="482"/>
      <c r="P116" s="482"/>
      <c r="Q116" s="482"/>
      <c r="R116" s="482"/>
      <c r="S116" s="482"/>
      <c r="T116" s="482"/>
      <c r="U116" s="482"/>
      <c r="V116" s="482"/>
      <c r="W116" s="482"/>
      <c r="X116" s="482"/>
      <c r="Y116" s="482"/>
      <c r="Z116" s="482"/>
      <c r="AA116" s="482"/>
      <c r="AB116" s="482"/>
      <c r="AC116" s="482"/>
      <c r="AD116" s="482"/>
      <c r="AE116" s="482"/>
      <c r="AF116" s="482"/>
      <c r="AG116" s="482"/>
      <c r="AH116" s="482"/>
      <c r="AI116" s="482"/>
      <c r="AJ116" s="482"/>
      <c r="AK116" s="482"/>
      <c r="AL116" s="482"/>
      <c r="AM116" s="482"/>
      <c r="AN116" s="482"/>
      <c r="AO116" s="482"/>
      <c r="AP116" s="482"/>
      <c r="AQ116" s="482"/>
      <c r="AR116" s="482"/>
      <c r="AS116" s="482"/>
      <c r="AT116" s="460"/>
    </row>
    <row r="117" spans="1:46" ht="12" customHeight="1">
      <c r="A117" s="427"/>
      <c r="B117" s="481" t="s">
        <v>357</v>
      </c>
      <c r="C117" s="1254" t="s">
        <v>358</v>
      </c>
      <c r="D117" s="1254"/>
      <c r="E117" s="1254"/>
      <c r="F117" s="1254"/>
      <c r="G117" s="1254"/>
      <c r="H117" s="1254"/>
      <c r="I117" s="1254"/>
      <c r="J117" s="1254"/>
      <c r="K117" s="1254"/>
      <c r="L117" s="1254"/>
      <c r="M117" s="1254"/>
      <c r="N117" s="1254"/>
      <c r="O117" s="1254"/>
      <c r="P117" s="1254"/>
      <c r="Q117" s="1254"/>
      <c r="R117" s="1254"/>
      <c r="S117" s="1254"/>
      <c r="T117" s="1254"/>
      <c r="U117" s="1254"/>
      <c r="V117" s="1254"/>
      <c r="W117" s="1254"/>
      <c r="X117" s="1254"/>
      <c r="Y117" s="1254"/>
      <c r="Z117" s="1254"/>
      <c r="AA117" s="1254"/>
      <c r="AB117" s="1254"/>
      <c r="AC117" s="1254"/>
      <c r="AD117" s="1254"/>
      <c r="AE117" s="1254"/>
      <c r="AF117" s="1254"/>
      <c r="AG117" s="1254"/>
      <c r="AH117" s="1254"/>
      <c r="AI117" s="1254"/>
      <c r="AJ117" s="1254"/>
      <c r="AK117" s="1254"/>
      <c r="AL117" s="1254"/>
      <c r="AM117" s="1254"/>
      <c r="AN117" s="1254"/>
      <c r="AO117" s="1254"/>
      <c r="AP117" s="1254"/>
      <c r="AQ117" s="1254"/>
      <c r="AR117" s="1254"/>
      <c r="AS117" s="482"/>
      <c r="AT117" s="460"/>
    </row>
    <row r="118" spans="1:46" ht="12" customHeight="1">
      <c r="A118" s="427"/>
      <c r="C118" s="1254"/>
      <c r="D118" s="1254"/>
      <c r="E118" s="1254"/>
      <c r="F118" s="1254"/>
      <c r="G118" s="1254"/>
      <c r="H118" s="1254"/>
      <c r="I118" s="1254"/>
      <c r="J118" s="1254"/>
      <c r="K118" s="1254"/>
      <c r="L118" s="1254"/>
      <c r="M118" s="1254"/>
      <c r="N118" s="1254"/>
      <c r="O118" s="1254"/>
      <c r="P118" s="1254"/>
      <c r="Q118" s="1254"/>
      <c r="R118" s="1254"/>
      <c r="S118" s="1254"/>
      <c r="T118" s="1254"/>
      <c r="U118" s="1254"/>
      <c r="V118" s="1254"/>
      <c r="W118" s="1254"/>
      <c r="X118" s="1254"/>
      <c r="Y118" s="1254"/>
      <c r="Z118" s="1254"/>
      <c r="AA118" s="1254"/>
      <c r="AB118" s="1254"/>
      <c r="AC118" s="1254"/>
      <c r="AD118" s="1254"/>
      <c r="AE118" s="1254"/>
      <c r="AF118" s="1254"/>
      <c r="AG118" s="1254"/>
      <c r="AH118" s="1254"/>
      <c r="AI118" s="1254"/>
      <c r="AJ118" s="1254"/>
      <c r="AK118" s="1254"/>
      <c r="AL118" s="1254"/>
      <c r="AM118" s="1254"/>
      <c r="AN118" s="1254"/>
      <c r="AO118" s="1254"/>
      <c r="AP118" s="1254"/>
      <c r="AQ118" s="1254"/>
      <c r="AR118" s="1254"/>
      <c r="AS118" s="482"/>
      <c r="AT118" s="460"/>
    </row>
    <row r="119" spans="1:46" ht="12" customHeight="1">
      <c r="A119" s="427"/>
      <c r="C119" s="487"/>
      <c r="D119" s="487"/>
      <c r="E119" s="487"/>
      <c r="F119" s="487"/>
      <c r="G119" s="487"/>
      <c r="H119" s="487"/>
      <c r="I119" s="487"/>
      <c r="J119" s="487"/>
      <c r="K119" s="487"/>
      <c r="L119" s="487"/>
      <c r="M119" s="487"/>
      <c r="N119" s="487"/>
      <c r="O119" s="487"/>
      <c r="P119" s="487"/>
      <c r="Q119" s="487"/>
      <c r="R119" s="487"/>
      <c r="S119" s="487"/>
      <c r="T119" s="487"/>
      <c r="U119" s="487"/>
      <c r="V119" s="487"/>
      <c r="W119" s="487"/>
      <c r="X119" s="487"/>
      <c r="Y119" s="487"/>
      <c r="Z119" s="487"/>
      <c r="AA119" s="487"/>
      <c r="AB119" s="487"/>
      <c r="AC119" s="487"/>
      <c r="AD119" s="487"/>
      <c r="AE119" s="487"/>
      <c r="AF119" s="487"/>
      <c r="AG119" s="487"/>
      <c r="AH119" s="487"/>
      <c r="AI119" s="487"/>
      <c r="AJ119" s="487"/>
      <c r="AK119" s="487"/>
      <c r="AL119" s="487"/>
      <c r="AM119" s="487"/>
      <c r="AN119" s="487"/>
      <c r="AO119" s="487"/>
      <c r="AP119" s="487"/>
      <c r="AQ119" s="487"/>
      <c r="AR119" s="487"/>
      <c r="AS119" s="482"/>
      <c r="AT119" s="460"/>
    </row>
    <row r="120" spans="1:46" ht="12" customHeight="1">
      <c r="A120" s="427"/>
      <c r="B120" s="488" t="s">
        <v>359</v>
      </c>
      <c r="C120" s="1250" t="s">
        <v>360</v>
      </c>
      <c r="D120" s="1250"/>
      <c r="E120" s="1250"/>
      <c r="F120" s="1250"/>
      <c r="G120" s="1250"/>
      <c r="H120" s="1250"/>
      <c r="I120" s="1250"/>
      <c r="J120" s="1250"/>
      <c r="K120" s="1250"/>
      <c r="L120" s="1250"/>
      <c r="M120" s="1250"/>
      <c r="N120" s="1250"/>
      <c r="O120" s="1250"/>
      <c r="P120" s="1250"/>
      <c r="Q120" s="1250"/>
      <c r="R120" s="1250"/>
      <c r="S120" s="1250"/>
      <c r="T120" s="1250"/>
      <c r="U120" s="1250"/>
      <c r="V120" s="1250"/>
      <c r="W120" s="1250"/>
      <c r="X120" s="1250"/>
      <c r="Y120" s="1250"/>
      <c r="Z120" s="1250"/>
      <c r="AA120" s="1250"/>
      <c r="AB120" s="1250"/>
      <c r="AC120" s="1250"/>
      <c r="AD120" s="1250"/>
      <c r="AE120" s="1250"/>
      <c r="AF120" s="1250"/>
      <c r="AG120" s="1250"/>
      <c r="AH120" s="1250"/>
      <c r="AI120" s="1250"/>
      <c r="AJ120" s="1250"/>
      <c r="AK120" s="1250"/>
      <c r="AL120" s="1250"/>
      <c r="AM120" s="1250"/>
      <c r="AN120" s="1250"/>
      <c r="AO120" s="1250"/>
      <c r="AP120" s="1250"/>
      <c r="AQ120" s="1250"/>
      <c r="AR120" s="1250"/>
      <c r="AS120" s="482"/>
      <c r="AT120" s="460"/>
    </row>
    <row r="121" spans="1:46" ht="12" customHeight="1">
      <c r="A121" s="427"/>
      <c r="B121" s="488"/>
      <c r="C121" s="489"/>
      <c r="D121" s="489"/>
      <c r="E121" s="489"/>
      <c r="F121" s="489"/>
      <c r="G121" s="489"/>
      <c r="H121" s="489"/>
      <c r="I121" s="489"/>
      <c r="J121" s="489"/>
      <c r="K121" s="489"/>
      <c r="L121" s="489"/>
      <c r="M121" s="489"/>
      <c r="N121" s="489"/>
      <c r="O121" s="489"/>
      <c r="P121" s="489"/>
      <c r="Q121" s="489"/>
      <c r="R121" s="489"/>
      <c r="S121" s="489"/>
      <c r="T121" s="489"/>
      <c r="U121" s="489"/>
      <c r="V121" s="489"/>
      <c r="W121" s="489"/>
      <c r="X121" s="489"/>
      <c r="Y121" s="489"/>
      <c r="Z121" s="489"/>
      <c r="AA121" s="489"/>
      <c r="AB121" s="489"/>
      <c r="AC121" s="489"/>
      <c r="AD121" s="489"/>
      <c r="AE121" s="489"/>
      <c r="AF121" s="489"/>
      <c r="AG121" s="489"/>
      <c r="AH121" s="489"/>
      <c r="AI121" s="489"/>
      <c r="AJ121" s="489"/>
      <c r="AK121" s="489"/>
      <c r="AL121" s="489"/>
      <c r="AM121" s="489"/>
      <c r="AN121" s="489"/>
      <c r="AO121" s="489"/>
      <c r="AP121" s="489"/>
      <c r="AQ121" s="489"/>
      <c r="AR121" s="489"/>
      <c r="AS121" s="482"/>
      <c r="AT121" s="460"/>
    </row>
    <row r="122" spans="1:46" ht="12" customHeight="1">
      <c r="A122" s="427"/>
      <c r="B122" s="488" t="s">
        <v>361</v>
      </c>
      <c r="C122" s="1250" t="s">
        <v>362</v>
      </c>
      <c r="D122" s="1250"/>
      <c r="E122" s="1250"/>
      <c r="F122" s="1250"/>
      <c r="G122" s="1250"/>
      <c r="H122" s="1250"/>
      <c r="I122" s="1250"/>
      <c r="J122" s="1250"/>
      <c r="K122" s="1250"/>
      <c r="L122" s="1250"/>
      <c r="M122" s="1250"/>
      <c r="N122" s="1250"/>
      <c r="O122" s="1250"/>
      <c r="P122" s="1250"/>
      <c r="Q122" s="1250"/>
      <c r="R122" s="1250"/>
      <c r="S122" s="1250"/>
      <c r="T122" s="1250"/>
      <c r="U122" s="1250"/>
      <c r="V122" s="1250"/>
      <c r="W122" s="1250"/>
      <c r="X122" s="1250"/>
      <c r="Y122" s="1250"/>
      <c r="Z122" s="1250"/>
      <c r="AA122" s="1250"/>
      <c r="AB122" s="1250"/>
      <c r="AC122" s="1250"/>
      <c r="AD122" s="1250"/>
      <c r="AE122" s="1250"/>
      <c r="AF122" s="1250"/>
      <c r="AG122" s="1250"/>
      <c r="AH122" s="1250"/>
      <c r="AI122" s="1250"/>
      <c r="AJ122" s="1250"/>
      <c r="AK122" s="1250"/>
      <c r="AL122" s="1250"/>
      <c r="AM122" s="1250"/>
      <c r="AN122" s="1250"/>
      <c r="AO122" s="1250"/>
      <c r="AP122" s="1250"/>
      <c r="AQ122" s="1250"/>
      <c r="AR122" s="1250"/>
      <c r="AS122" s="482"/>
      <c r="AT122" s="460"/>
    </row>
    <row r="123" spans="1:46" ht="12" customHeight="1">
      <c r="A123" s="427"/>
      <c r="B123" s="488"/>
      <c r="C123" s="1250"/>
      <c r="D123" s="1250"/>
      <c r="E123" s="1250"/>
      <c r="F123" s="1250"/>
      <c r="G123" s="1250"/>
      <c r="H123" s="1250"/>
      <c r="I123" s="1250"/>
      <c r="J123" s="1250"/>
      <c r="K123" s="1250"/>
      <c r="L123" s="1250"/>
      <c r="M123" s="1250"/>
      <c r="N123" s="1250"/>
      <c r="O123" s="1250"/>
      <c r="P123" s="1250"/>
      <c r="Q123" s="1250"/>
      <c r="R123" s="1250"/>
      <c r="S123" s="1250"/>
      <c r="T123" s="1250"/>
      <c r="U123" s="1250"/>
      <c r="V123" s="1250"/>
      <c r="W123" s="1250"/>
      <c r="X123" s="1250"/>
      <c r="Y123" s="1250"/>
      <c r="Z123" s="1250"/>
      <c r="AA123" s="1250"/>
      <c r="AB123" s="1250"/>
      <c r="AC123" s="1250"/>
      <c r="AD123" s="1250"/>
      <c r="AE123" s="1250"/>
      <c r="AF123" s="1250"/>
      <c r="AG123" s="1250"/>
      <c r="AH123" s="1250"/>
      <c r="AI123" s="1250"/>
      <c r="AJ123" s="1250"/>
      <c r="AK123" s="1250"/>
      <c r="AL123" s="1250"/>
      <c r="AM123" s="1250"/>
      <c r="AN123" s="1250"/>
      <c r="AO123" s="1250"/>
      <c r="AP123" s="1250"/>
      <c r="AQ123" s="1250"/>
      <c r="AR123" s="1250"/>
      <c r="AS123" s="482"/>
      <c r="AT123" s="460"/>
    </row>
    <row r="124" spans="1:46" ht="12" customHeight="1">
      <c r="A124" s="427"/>
      <c r="C124" s="481"/>
      <c r="D124" s="482"/>
      <c r="E124" s="482"/>
      <c r="F124" s="482"/>
      <c r="G124" s="482"/>
      <c r="H124" s="482"/>
      <c r="I124" s="482"/>
      <c r="J124" s="482"/>
      <c r="K124" s="482"/>
      <c r="L124" s="482"/>
      <c r="M124" s="482"/>
      <c r="N124" s="482"/>
      <c r="O124" s="482"/>
      <c r="P124" s="482"/>
      <c r="Q124" s="482"/>
      <c r="R124" s="482"/>
      <c r="S124" s="482"/>
      <c r="T124" s="482"/>
      <c r="U124" s="482"/>
      <c r="V124" s="482"/>
      <c r="W124" s="482"/>
      <c r="X124" s="482"/>
      <c r="Y124" s="482"/>
      <c r="Z124" s="482"/>
      <c r="AA124" s="482"/>
      <c r="AB124" s="482"/>
      <c r="AC124" s="482"/>
      <c r="AD124" s="482"/>
      <c r="AE124" s="482"/>
      <c r="AF124" s="482"/>
      <c r="AG124" s="482"/>
      <c r="AH124" s="482"/>
      <c r="AI124" s="482"/>
      <c r="AJ124" s="482"/>
      <c r="AK124" s="482"/>
      <c r="AL124" s="482"/>
      <c r="AM124" s="482"/>
      <c r="AN124" s="482"/>
      <c r="AO124" s="482"/>
      <c r="AP124" s="482"/>
      <c r="AQ124" s="482"/>
      <c r="AR124" s="482"/>
      <c r="AS124" s="482"/>
      <c r="AT124" s="460"/>
    </row>
    <row r="125" spans="1:46" ht="12" customHeight="1">
      <c r="A125" s="427"/>
      <c r="B125" s="481" t="s">
        <v>363</v>
      </c>
      <c r="C125" s="1251" t="s">
        <v>364</v>
      </c>
      <c r="D125" s="1251"/>
      <c r="E125" s="1251"/>
      <c r="F125" s="1251"/>
      <c r="G125" s="1251"/>
      <c r="H125" s="1251"/>
      <c r="I125" s="1251"/>
      <c r="J125" s="1251"/>
      <c r="K125" s="1251"/>
      <c r="L125" s="1251"/>
      <c r="M125" s="1251"/>
      <c r="N125" s="1251"/>
      <c r="O125" s="1251"/>
      <c r="P125" s="1251"/>
      <c r="Q125" s="1251"/>
      <c r="R125" s="1251"/>
      <c r="S125" s="1251"/>
      <c r="T125" s="1251"/>
      <c r="U125" s="1251"/>
      <c r="V125" s="1251"/>
      <c r="W125" s="1251"/>
      <c r="X125" s="1251"/>
      <c r="Y125" s="1251"/>
      <c r="Z125" s="1251"/>
      <c r="AA125" s="1251"/>
      <c r="AB125" s="1251"/>
      <c r="AC125" s="1251"/>
      <c r="AD125" s="1251"/>
      <c r="AE125" s="1251"/>
      <c r="AF125" s="1251"/>
      <c r="AG125" s="1251"/>
      <c r="AH125" s="1251"/>
      <c r="AI125" s="1251"/>
      <c r="AJ125" s="1251"/>
      <c r="AK125" s="1251"/>
      <c r="AL125" s="1251"/>
      <c r="AM125" s="1251"/>
      <c r="AN125" s="1251"/>
      <c r="AO125" s="1251"/>
      <c r="AP125" s="1251"/>
      <c r="AQ125" s="1251"/>
      <c r="AR125" s="1251"/>
      <c r="AS125" s="480"/>
    </row>
    <row r="126" spans="1:46" ht="12" customHeight="1">
      <c r="A126" s="427"/>
      <c r="B126" s="481"/>
      <c r="C126" s="1251"/>
      <c r="D126" s="1251"/>
      <c r="E126" s="1251"/>
      <c r="F126" s="1251"/>
      <c r="G126" s="1251"/>
      <c r="H126" s="1251"/>
      <c r="I126" s="1251"/>
      <c r="J126" s="1251"/>
      <c r="K126" s="1251"/>
      <c r="L126" s="1251"/>
      <c r="M126" s="1251"/>
      <c r="N126" s="1251"/>
      <c r="O126" s="1251"/>
      <c r="P126" s="1251"/>
      <c r="Q126" s="1251"/>
      <c r="R126" s="1251"/>
      <c r="S126" s="1251"/>
      <c r="T126" s="1251"/>
      <c r="U126" s="1251"/>
      <c r="V126" s="1251"/>
      <c r="W126" s="1251"/>
      <c r="X126" s="1251"/>
      <c r="Y126" s="1251"/>
      <c r="Z126" s="1251"/>
      <c r="AA126" s="1251"/>
      <c r="AB126" s="1251"/>
      <c r="AC126" s="1251"/>
      <c r="AD126" s="1251"/>
      <c r="AE126" s="1251"/>
      <c r="AF126" s="1251"/>
      <c r="AG126" s="1251"/>
      <c r="AH126" s="1251"/>
      <c r="AI126" s="1251"/>
      <c r="AJ126" s="1251"/>
      <c r="AK126" s="1251"/>
      <c r="AL126" s="1251"/>
      <c r="AM126" s="1251"/>
      <c r="AN126" s="1251"/>
      <c r="AO126" s="1251"/>
      <c r="AP126" s="1251"/>
      <c r="AQ126" s="1251"/>
      <c r="AR126" s="1251"/>
      <c r="AS126" s="480"/>
    </row>
    <row r="127" spans="1:46" ht="12" customHeight="1">
      <c r="A127" s="427"/>
      <c r="B127" s="481"/>
      <c r="C127" s="1251"/>
      <c r="D127" s="1251"/>
      <c r="E127" s="1251"/>
      <c r="F127" s="1251"/>
      <c r="G127" s="1251"/>
      <c r="H127" s="1251"/>
      <c r="I127" s="1251"/>
      <c r="J127" s="1251"/>
      <c r="K127" s="1251"/>
      <c r="L127" s="1251"/>
      <c r="M127" s="1251"/>
      <c r="N127" s="1251"/>
      <c r="O127" s="1251"/>
      <c r="P127" s="1251"/>
      <c r="Q127" s="1251"/>
      <c r="R127" s="1251"/>
      <c r="S127" s="1251"/>
      <c r="T127" s="1251"/>
      <c r="U127" s="1251"/>
      <c r="V127" s="1251"/>
      <c r="W127" s="1251"/>
      <c r="X127" s="1251"/>
      <c r="Y127" s="1251"/>
      <c r="Z127" s="1251"/>
      <c r="AA127" s="1251"/>
      <c r="AB127" s="1251"/>
      <c r="AC127" s="1251"/>
      <c r="AD127" s="1251"/>
      <c r="AE127" s="1251"/>
      <c r="AF127" s="1251"/>
      <c r="AG127" s="1251"/>
      <c r="AH127" s="1251"/>
      <c r="AI127" s="1251"/>
      <c r="AJ127" s="1251"/>
      <c r="AK127" s="1251"/>
      <c r="AL127" s="1251"/>
      <c r="AM127" s="1251"/>
      <c r="AN127" s="1251"/>
      <c r="AO127" s="1251"/>
      <c r="AP127" s="1251"/>
      <c r="AQ127" s="1251"/>
      <c r="AR127" s="1251"/>
      <c r="AS127" s="480"/>
    </row>
    <row r="128" spans="1:46" ht="14.25" customHeight="1">
      <c r="A128" s="427"/>
      <c r="B128" s="481"/>
      <c r="C128" s="1251"/>
      <c r="D128" s="1251"/>
      <c r="E128" s="1251"/>
      <c r="F128" s="1251"/>
      <c r="G128" s="1251"/>
      <c r="H128" s="1251"/>
      <c r="I128" s="1251"/>
      <c r="J128" s="1251"/>
      <c r="K128" s="1251"/>
      <c r="L128" s="1251"/>
      <c r="M128" s="1251"/>
      <c r="N128" s="1251"/>
      <c r="O128" s="1251"/>
      <c r="P128" s="1251"/>
      <c r="Q128" s="1251"/>
      <c r="R128" s="1251"/>
      <c r="S128" s="1251"/>
      <c r="T128" s="1251"/>
      <c r="U128" s="1251"/>
      <c r="V128" s="1251"/>
      <c r="W128" s="1251"/>
      <c r="X128" s="1251"/>
      <c r="Y128" s="1251"/>
      <c r="Z128" s="1251"/>
      <c r="AA128" s="1251"/>
      <c r="AB128" s="1251"/>
      <c r="AC128" s="1251"/>
      <c r="AD128" s="1251"/>
      <c r="AE128" s="1251"/>
      <c r="AF128" s="1251"/>
      <c r="AG128" s="1251"/>
      <c r="AH128" s="1251"/>
      <c r="AI128" s="1251"/>
      <c r="AJ128" s="1251"/>
      <c r="AK128" s="1251"/>
      <c r="AL128" s="1251"/>
      <c r="AM128" s="1251"/>
      <c r="AN128" s="1251"/>
      <c r="AO128" s="1251"/>
      <c r="AP128" s="1251"/>
      <c r="AQ128" s="1251"/>
      <c r="AR128" s="1251"/>
      <c r="AS128" s="480"/>
    </row>
    <row r="129" spans="1:46" ht="12" customHeight="1">
      <c r="A129" s="427"/>
      <c r="B129" s="481"/>
      <c r="C129" s="480"/>
      <c r="D129" s="480"/>
      <c r="E129" s="480"/>
      <c r="F129" s="480"/>
      <c r="G129" s="480"/>
      <c r="H129" s="480"/>
      <c r="I129" s="480"/>
      <c r="J129" s="480"/>
      <c r="K129" s="480"/>
      <c r="L129" s="480"/>
      <c r="M129" s="480"/>
      <c r="N129" s="480"/>
      <c r="O129" s="480"/>
      <c r="P129" s="480"/>
      <c r="Q129" s="480"/>
      <c r="R129" s="480"/>
      <c r="S129" s="480"/>
      <c r="T129" s="480"/>
      <c r="U129" s="480"/>
      <c r="V129" s="480"/>
      <c r="W129" s="480"/>
      <c r="X129" s="480"/>
      <c r="Y129" s="480"/>
      <c r="Z129" s="480"/>
      <c r="AA129" s="480"/>
      <c r="AB129" s="480"/>
      <c r="AC129" s="480"/>
      <c r="AD129" s="480"/>
      <c r="AE129" s="480"/>
      <c r="AF129" s="480"/>
      <c r="AG129" s="480"/>
      <c r="AH129" s="480"/>
      <c r="AI129" s="480"/>
      <c r="AJ129" s="480"/>
      <c r="AK129" s="480"/>
      <c r="AL129" s="480"/>
      <c r="AM129" s="480"/>
      <c r="AN129" s="480"/>
      <c r="AO129" s="480"/>
      <c r="AP129" s="480"/>
      <c r="AQ129" s="480"/>
      <c r="AR129" s="480"/>
      <c r="AS129" s="480"/>
    </row>
    <row r="130" spans="1:46" ht="12" customHeight="1">
      <c r="A130" s="427"/>
      <c r="B130" s="481" t="s">
        <v>365</v>
      </c>
      <c r="C130" s="1251" t="s">
        <v>366</v>
      </c>
      <c r="D130" s="1251"/>
      <c r="E130" s="1251"/>
      <c r="F130" s="1251"/>
      <c r="G130" s="1251"/>
      <c r="H130" s="1251"/>
      <c r="I130" s="1251"/>
      <c r="J130" s="1251"/>
      <c r="K130" s="1251"/>
      <c r="L130" s="1251"/>
      <c r="M130" s="1251"/>
      <c r="N130" s="1251"/>
      <c r="O130" s="1251"/>
      <c r="P130" s="1251"/>
      <c r="Q130" s="1251"/>
      <c r="R130" s="1251"/>
      <c r="S130" s="1251"/>
      <c r="T130" s="1251"/>
      <c r="U130" s="1251"/>
      <c r="V130" s="1251"/>
      <c r="W130" s="1251"/>
      <c r="X130" s="1251"/>
      <c r="Y130" s="1251"/>
      <c r="Z130" s="1251"/>
      <c r="AA130" s="1251"/>
      <c r="AB130" s="1251"/>
      <c r="AC130" s="1251"/>
      <c r="AD130" s="1251"/>
      <c r="AE130" s="1251"/>
      <c r="AF130" s="1251"/>
      <c r="AG130" s="1251"/>
      <c r="AH130" s="1251"/>
      <c r="AI130" s="1251"/>
      <c r="AJ130" s="1251"/>
      <c r="AK130" s="1251"/>
      <c r="AL130" s="1251"/>
      <c r="AM130" s="1251"/>
      <c r="AN130" s="1251"/>
      <c r="AO130" s="1251"/>
      <c r="AP130" s="1251"/>
      <c r="AQ130" s="1251"/>
      <c r="AR130" s="1251"/>
      <c r="AS130" s="480"/>
    </row>
    <row r="131" spans="1:46" ht="13.5" customHeight="1">
      <c r="A131" s="427"/>
      <c r="B131" s="481"/>
      <c r="C131" s="1251"/>
      <c r="D131" s="1251"/>
      <c r="E131" s="1251"/>
      <c r="F131" s="1251"/>
      <c r="G131" s="1251"/>
      <c r="H131" s="1251"/>
      <c r="I131" s="1251"/>
      <c r="J131" s="1251"/>
      <c r="K131" s="1251"/>
      <c r="L131" s="1251"/>
      <c r="M131" s="1251"/>
      <c r="N131" s="1251"/>
      <c r="O131" s="1251"/>
      <c r="P131" s="1251"/>
      <c r="Q131" s="1251"/>
      <c r="R131" s="1251"/>
      <c r="S131" s="1251"/>
      <c r="T131" s="1251"/>
      <c r="U131" s="1251"/>
      <c r="V131" s="1251"/>
      <c r="W131" s="1251"/>
      <c r="X131" s="1251"/>
      <c r="Y131" s="1251"/>
      <c r="Z131" s="1251"/>
      <c r="AA131" s="1251"/>
      <c r="AB131" s="1251"/>
      <c r="AC131" s="1251"/>
      <c r="AD131" s="1251"/>
      <c r="AE131" s="1251"/>
      <c r="AF131" s="1251"/>
      <c r="AG131" s="1251"/>
      <c r="AH131" s="1251"/>
      <c r="AI131" s="1251"/>
      <c r="AJ131" s="1251"/>
      <c r="AK131" s="1251"/>
      <c r="AL131" s="1251"/>
      <c r="AM131" s="1251"/>
      <c r="AN131" s="1251"/>
      <c r="AO131" s="1251"/>
      <c r="AP131" s="1251"/>
      <c r="AQ131" s="1251"/>
      <c r="AR131" s="1251"/>
      <c r="AS131" s="480"/>
    </row>
    <row r="132" spans="1:46" ht="13.5" customHeight="1">
      <c r="A132" s="427"/>
      <c r="B132" s="481"/>
      <c r="C132" s="480"/>
      <c r="D132" s="480"/>
      <c r="E132" s="480"/>
      <c r="F132" s="480"/>
      <c r="G132" s="480"/>
      <c r="H132" s="480"/>
      <c r="I132" s="480"/>
      <c r="J132" s="480"/>
      <c r="K132" s="480"/>
      <c r="L132" s="480"/>
      <c r="M132" s="480"/>
      <c r="N132" s="480"/>
      <c r="O132" s="480"/>
      <c r="P132" s="480"/>
      <c r="Q132" s="480"/>
      <c r="R132" s="480"/>
      <c r="S132" s="480"/>
      <c r="T132" s="480"/>
      <c r="U132" s="480"/>
      <c r="V132" s="480"/>
      <c r="W132" s="480"/>
      <c r="X132" s="480"/>
      <c r="Y132" s="480"/>
      <c r="Z132" s="480"/>
      <c r="AA132" s="480"/>
      <c r="AB132" s="480"/>
      <c r="AC132" s="480"/>
      <c r="AD132" s="480"/>
      <c r="AE132" s="480"/>
      <c r="AF132" s="480"/>
      <c r="AG132" s="480"/>
      <c r="AH132" s="480"/>
      <c r="AI132" s="480"/>
      <c r="AJ132" s="480"/>
      <c r="AK132" s="480"/>
      <c r="AL132" s="480"/>
      <c r="AM132" s="480"/>
      <c r="AN132" s="480"/>
      <c r="AO132" s="480"/>
      <c r="AP132" s="480"/>
      <c r="AQ132" s="480"/>
      <c r="AR132" s="480"/>
      <c r="AS132" s="480"/>
    </row>
    <row r="133" spans="1:46" ht="13.5" customHeight="1">
      <c r="A133" s="427"/>
      <c r="B133" s="481" t="s">
        <v>367</v>
      </c>
      <c r="C133" s="1252" t="s">
        <v>368</v>
      </c>
      <c r="D133" s="1252"/>
      <c r="E133" s="1252"/>
      <c r="F133" s="1252"/>
      <c r="G133" s="1252"/>
      <c r="H133" s="1252"/>
      <c r="I133" s="1252"/>
      <c r="J133" s="1252"/>
      <c r="K133" s="1252"/>
      <c r="L133" s="1252"/>
      <c r="M133" s="1252"/>
      <c r="N133" s="1252"/>
      <c r="O133" s="1252"/>
      <c r="P133" s="1252"/>
      <c r="Q133" s="1252"/>
      <c r="R133" s="1252"/>
      <c r="S133" s="1252"/>
      <c r="T133" s="1252"/>
      <c r="U133" s="1252"/>
      <c r="V133" s="1252"/>
      <c r="W133" s="1252"/>
      <c r="X133" s="1252"/>
      <c r="Y133" s="1252"/>
      <c r="Z133" s="1252"/>
      <c r="AA133" s="1252"/>
      <c r="AB133" s="1252"/>
      <c r="AC133" s="1252"/>
      <c r="AD133" s="1252"/>
      <c r="AE133" s="1252"/>
      <c r="AF133" s="1252"/>
      <c r="AG133" s="1252"/>
      <c r="AH133" s="1252"/>
      <c r="AI133" s="1252"/>
      <c r="AJ133" s="1252"/>
      <c r="AK133" s="1252"/>
      <c r="AL133" s="1252"/>
      <c r="AM133" s="1252"/>
      <c r="AN133" s="1252"/>
      <c r="AO133" s="1252"/>
      <c r="AP133" s="1252"/>
      <c r="AQ133" s="1252"/>
      <c r="AR133" s="1252"/>
      <c r="AS133" s="480"/>
    </row>
    <row r="134" spans="1:46" ht="13.5" customHeight="1">
      <c r="A134" s="427"/>
      <c r="B134" s="481"/>
      <c r="C134" s="1252"/>
      <c r="D134" s="1252"/>
      <c r="E134" s="1252"/>
      <c r="F134" s="1252"/>
      <c r="G134" s="1252"/>
      <c r="H134" s="1252"/>
      <c r="I134" s="1252"/>
      <c r="J134" s="1252"/>
      <c r="K134" s="1252"/>
      <c r="L134" s="1252"/>
      <c r="M134" s="1252"/>
      <c r="N134" s="1252"/>
      <c r="O134" s="1252"/>
      <c r="P134" s="1252"/>
      <c r="Q134" s="1252"/>
      <c r="R134" s="1252"/>
      <c r="S134" s="1252"/>
      <c r="T134" s="1252"/>
      <c r="U134" s="1252"/>
      <c r="V134" s="1252"/>
      <c r="W134" s="1252"/>
      <c r="X134" s="1252"/>
      <c r="Y134" s="1252"/>
      <c r="Z134" s="1252"/>
      <c r="AA134" s="1252"/>
      <c r="AB134" s="1252"/>
      <c r="AC134" s="1252"/>
      <c r="AD134" s="1252"/>
      <c r="AE134" s="1252"/>
      <c r="AF134" s="1252"/>
      <c r="AG134" s="1252"/>
      <c r="AH134" s="1252"/>
      <c r="AI134" s="1252"/>
      <c r="AJ134" s="1252"/>
      <c r="AK134" s="1252"/>
      <c r="AL134" s="1252"/>
      <c r="AM134" s="1252"/>
      <c r="AN134" s="1252"/>
      <c r="AO134" s="1252"/>
      <c r="AP134" s="1252"/>
      <c r="AQ134" s="1252"/>
      <c r="AR134" s="1252"/>
      <c r="AS134" s="480"/>
    </row>
    <row r="135" spans="1:46" ht="13.5" customHeight="1">
      <c r="A135" s="427"/>
      <c r="B135" s="481"/>
      <c r="C135" s="1252"/>
      <c r="D135" s="1252"/>
      <c r="E135" s="1252"/>
      <c r="F135" s="1252"/>
      <c r="G135" s="1252"/>
      <c r="H135" s="1252"/>
      <c r="I135" s="1252"/>
      <c r="J135" s="1252"/>
      <c r="K135" s="1252"/>
      <c r="L135" s="1252"/>
      <c r="M135" s="1252"/>
      <c r="N135" s="1252"/>
      <c r="O135" s="1252"/>
      <c r="P135" s="1252"/>
      <c r="Q135" s="1252"/>
      <c r="R135" s="1252"/>
      <c r="S135" s="1252"/>
      <c r="T135" s="1252"/>
      <c r="U135" s="1252"/>
      <c r="V135" s="1252"/>
      <c r="W135" s="1252"/>
      <c r="X135" s="1252"/>
      <c r="Y135" s="1252"/>
      <c r="Z135" s="1252"/>
      <c r="AA135" s="1252"/>
      <c r="AB135" s="1252"/>
      <c r="AC135" s="1252"/>
      <c r="AD135" s="1252"/>
      <c r="AE135" s="1252"/>
      <c r="AF135" s="1252"/>
      <c r="AG135" s="1252"/>
      <c r="AH135" s="1252"/>
      <c r="AI135" s="1252"/>
      <c r="AJ135" s="1252"/>
      <c r="AK135" s="1252"/>
      <c r="AL135" s="1252"/>
      <c r="AM135" s="1252"/>
      <c r="AN135" s="1252"/>
      <c r="AO135" s="1252"/>
      <c r="AP135" s="1252"/>
      <c r="AQ135" s="1252"/>
      <c r="AR135" s="1252"/>
      <c r="AS135" s="480"/>
    </row>
    <row r="136" spans="1:46" ht="13.5" customHeight="1">
      <c r="A136" s="427"/>
      <c r="B136" s="481"/>
      <c r="C136" s="1252"/>
      <c r="D136" s="1252"/>
      <c r="E136" s="1252"/>
      <c r="F136" s="1252"/>
      <c r="G136" s="1252"/>
      <c r="H136" s="1252"/>
      <c r="I136" s="1252"/>
      <c r="J136" s="1252"/>
      <c r="K136" s="1252"/>
      <c r="L136" s="1252"/>
      <c r="M136" s="1252"/>
      <c r="N136" s="1252"/>
      <c r="O136" s="1252"/>
      <c r="P136" s="1252"/>
      <c r="Q136" s="1252"/>
      <c r="R136" s="1252"/>
      <c r="S136" s="1252"/>
      <c r="T136" s="1252"/>
      <c r="U136" s="1252"/>
      <c r="V136" s="1252"/>
      <c r="W136" s="1252"/>
      <c r="X136" s="1252"/>
      <c r="Y136" s="1252"/>
      <c r="Z136" s="1252"/>
      <c r="AA136" s="1252"/>
      <c r="AB136" s="1252"/>
      <c r="AC136" s="1252"/>
      <c r="AD136" s="1252"/>
      <c r="AE136" s="1252"/>
      <c r="AF136" s="1252"/>
      <c r="AG136" s="1252"/>
      <c r="AH136" s="1252"/>
      <c r="AI136" s="1252"/>
      <c r="AJ136" s="1252"/>
      <c r="AK136" s="1252"/>
      <c r="AL136" s="1252"/>
      <c r="AM136" s="1252"/>
      <c r="AN136" s="1252"/>
      <c r="AO136" s="1252"/>
      <c r="AP136" s="1252"/>
      <c r="AQ136" s="1252"/>
      <c r="AR136" s="1252"/>
      <c r="AS136" s="480"/>
    </row>
    <row r="137" spans="1:46" ht="12" customHeight="1">
      <c r="A137" s="427"/>
      <c r="B137" s="481"/>
      <c r="C137" s="480"/>
      <c r="D137" s="480"/>
      <c r="E137" s="480"/>
      <c r="F137" s="480"/>
      <c r="G137" s="480"/>
      <c r="H137" s="480"/>
      <c r="I137" s="480"/>
      <c r="J137" s="480"/>
      <c r="K137" s="480"/>
      <c r="L137" s="480"/>
      <c r="M137" s="480"/>
      <c r="N137" s="480"/>
      <c r="O137" s="480"/>
      <c r="P137" s="480"/>
      <c r="Q137" s="480"/>
      <c r="R137" s="480"/>
      <c r="S137" s="480"/>
      <c r="T137" s="480"/>
      <c r="U137" s="480"/>
      <c r="V137" s="480"/>
      <c r="W137" s="480"/>
      <c r="X137" s="480"/>
      <c r="Y137" s="480"/>
      <c r="Z137" s="480"/>
      <c r="AA137" s="480"/>
      <c r="AB137" s="480"/>
      <c r="AC137" s="480"/>
      <c r="AD137" s="480"/>
      <c r="AE137" s="480"/>
      <c r="AF137" s="480"/>
      <c r="AG137" s="480"/>
      <c r="AH137" s="480"/>
      <c r="AI137" s="480"/>
      <c r="AJ137" s="480"/>
      <c r="AK137" s="480"/>
      <c r="AL137" s="480"/>
      <c r="AM137" s="480"/>
      <c r="AN137" s="480"/>
      <c r="AO137" s="480"/>
      <c r="AP137" s="480"/>
      <c r="AQ137" s="480"/>
      <c r="AR137" s="480"/>
      <c r="AS137" s="480"/>
    </row>
    <row r="138" spans="1:46" ht="12" customHeight="1">
      <c r="A138" s="427"/>
      <c r="B138" s="481" t="s">
        <v>369</v>
      </c>
      <c r="C138" s="1253" t="s">
        <v>370</v>
      </c>
      <c r="D138" s="1253"/>
      <c r="E138" s="1253"/>
      <c r="F138" s="1253"/>
      <c r="G138" s="1253"/>
      <c r="H138" s="1253"/>
      <c r="I138" s="1253"/>
      <c r="J138" s="1253"/>
      <c r="K138" s="1253"/>
      <c r="L138" s="1253"/>
      <c r="M138" s="1253"/>
      <c r="N138" s="1253"/>
      <c r="O138" s="1253"/>
      <c r="P138" s="1253"/>
      <c r="Q138" s="1253"/>
      <c r="R138" s="1253"/>
      <c r="S138" s="1253"/>
      <c r="T138" s="1253"/>
      <c r="U138" s="1253"/>
      <c r="V138" s="1253"/>
      <c r="W138" s="1253"/>
      <c r="X138" s="1253"/>
      <c r="Y138" s="1253"/>
      <c r="Z138" s="1253"/>
      <c r="AA138" s="1253"/>
      <c r="AB138" s="1253"/>
      <c r="AC138" s="1253"/>
      <c r="AD138" s="1253"/>
      <c r="AE138" s="1253"/>
      <c r="AF138" s="1253"/>
      <c r="AG138" s="1253"/>
      <c r="AH138" s="1253"/>
      <c r="AI138" s="1253"/>
      <c r="AJ138" s="1253"/>
      <c r="AK138" s="1253"/>
      <c r="AL138" s="1253"/>
      <c r="AM138" s="1253"/>
      <c r="AN138" s="1253"/>
      <c r="AO138" s="1253"/>
      <c r="AP138" s="1253"/>
      <c r="AQ138" s="1253"/>
      <c r="AR138" s="1253"/>
    </row>
    <row r="139" spans="1:46" ht="12" customHeight="1">
      <c r="A139" s="427"/>
      <c r="C139" s="487"/>
      <c r="D139" s="487"/>
      <c r="E139" s="487"/>
      <c r="F139" s="487"/>
      <c r="G139" s="487"/>
      <c r="H139" s="487"/>
      <c r="I139" s="487"/>
      <c r="J139" s="487"/>
      <c r="K139" s="487"/>
      <c r="L139" s="487"/>
      <c r="M139" s="487"/>
      <c r="N139" s="487"/>
      <c r="O139" s="487"/>
      <c r="P139" s="487"/>
      <c r="Q139" s="487"/>
      <c r="R139" s="487"/>
      <c r="S139" s="487"/>
      <c r="T139" s="487"/>
      <c r="U139" s="487"/>
      <c r="V139" s="487"/>
      <c r="W139" s="487"/>
      <c r="X139" s="487"/>
      <c r="Y139" s="487"/>
      <c r="Z139" s="487"/>
      <c r="AA139" s="487"/>
      <c r="AB139" s="487"/>
      <c r="AC139" s="487"/>
      <c r="AD139" s="487"/>
      <c r="AE139" s="487"/>
      <c r="AF139" s="487"/>
      <c r="AG139" s="487"/>
      <c r="AH139" s="487"/>
      <c r="AI139" s="487"/>
      <c r="AJ139" s="487"/>
      <c r="AK139" s="487"/>
      <c r="AL139" s="487"/>
      <c r="AM139" s="487"/>
      <c r="AN139" s="487"/>
      <c r="AO139" s="487"/>
      <c r="AP139" s="487"/>
      <c r="AQ139" s="487"/>
      <c r="AR139" s="487"/>
      <c r="AS139" s="482"/>
      <c r="AT139" s="460"/>
    </row>
    <row r="140" spans="1:46" ht="12" customHeight="1">
      <c r="A140" s="427"/>
      <c r="B140" s="488" t="s">
        <v>371</v>
      </c>
      <c r="C140" s="1254" t="s">
        <v>372</v>
      </c>
      <c r="D140" s="1254"/>
      <c r="E140" s="1254"/>
      <c r="F140" s="1254"/>
      <c r="G140" s="1254"/>
      <c r="H140" s="1254"/>
      <c r="I140" s="1254"/>
      <c r="J140" s="1254"/>
      <c r="K140" s="1254"/>
      <c r="L140" s="1254"/>
      <c r="M140" s="1254"/>
      <c r="N140" s="1254"/>
      <c r="O140" s="1254"/>
      <c r="P140" s="1254"/>
      <c r="Q140" s="1254"/>
      <c r="R140" s="1254"/>
      <c r="S140" s="1254"/>
      <c r="T140" s="1254"/>
      <c r="U140" s="1254"/>
      <c r="V140" s="1254"/>
      <c r="W140" s="1254"/>
      <c r="X140" s="1254"/>
      <c r="Y140" s="1254"/>
      <c r="Z140" s="1254"/>
      <c r="AA140" s="1254"/>
      <c r="AB140" s="1254"/>
      <c r="AC140" s="1254"/>
      <c r="AD140" s="1254"/>
      <c r="AE140" s="1254"/>
      <c r="AF140" s="1254"/>
      <c r="AG140" s="1254"/>
      <c r="AH140" s="1254"/>
      <c r="AI140" s="1254"/>
      <c r="AJ140" s="1254"/>
      <c r="AK140" s="1254"/>
      <c r="AL140" s="1254"/>
      <c r="AM140" s="1254"/>
      <c r="AN140" s="1254"/>
      <c r="AO140" s="1254"/>
      <c r="AP140" s="1254"/>
      <c r="AQ140" s="1254"/>
      <c r="AR140" s="1254"/>
      <c r="AS140" s="482"/>
      <c r="AT140" s="460"/>
    </row>
    <row r="141" spans="1:46" ht="12" customHeight="1">
      <c r="A141" s="427"/>
      <c r="B141" s="490"/>
      <c r="C141" s="1254"/>
      <c r="D141" s="1254"/>
      <c r="E141" s="1254"/>
      <c r="F141" s="1254"/>
      <c r="G141" s="1254"/>
      <c r="H141" s="1254"/>
      <c r="I141" s="1254"/>
      <c r="J141" s="1254"/>
      <c r="K141" s="1254"/>
      <c r="L141" s="1254"/>
      <c r="M141" s="1254"/>
      <c r="N141" s="1254"/>
      <c r="O141" s="1254"/>
      <c r="P141" s="1254"/>
      <c r="Q141" s="1254"/>
      <c r="R141" s="1254"/>
      <c r="S141" s="1254"/>
      <c r="T141" s="1254"/>
      <c r="U141" s="1254"/>
      <c r="V141" s="1254"/>
      <c r="W141" s="1254"/>
      <c r="X141" s="1254"/>
      <c r="Y141" s="1254"/>
      <c r="Z141" s="1254"/>
      <c r="AA141" s="1254"/>
      <c r="AB141" s="1254"/>
      <c r="AC141" s="1254"/>
      <c r="AD141" s="1254"/>
      <c r="AE141" s="1254"/>
      <c r="AF141" s="1254"/>
      <c r="AG141" s="1254"/>
      <c r="AH141" s="1254"/>
      <c r="AI141" s="1254"/>
      <c r="AJ141" s="1254"/>
      <c r="AK141" s="1254"/>
      <c r="AL141" s="1254"/>
      <c r="AM141" s="1254"/>
      <c r="AN141" s="1254"/>
      <c r="AO141" s="1254"/>
      <c r="AP141" s="1254"/>
      <c r="AQ141" s="1254"/>
      <c r="AR141" s="1254"/>
      <c r="AS141" s="482"/>
      <c r="AT141" s="460"/>
    </row>
    <row r="142" spans="1:46" ht="12" customHeight="1">
      <c r="A142" s="427"/>
      <c r="B142" s="481"/>
    </row>
    <row r="143" spans="1:46" ht="12" customHeight="1">
      <c r="A143" s="427"/>
      <c r="B143" s="481"/>
      <c r="C143" s="480"/>
      <c r="D143" s="480"/>
      <c r="E143" s="480"/>
      <c r="F143" s="480"/>
      <c r="G143" s="480"/>
      <c r="H143" s="480"/>
      <c r="I143" s="480"/>
      <c r="J143" s="480"/>
      <c r="K143" s="480"/>
      <c r="L143" s="480"/>
      <c r="M143" s="480"/>
      <c r="N143" s="480"/>
      <c r="O143" s="480"/>
      <c r="P143" s="480"/>
      <c r="Q143" s="480"/>
      <c r="R143" s="480"/>
      <c r="S143" s="480"/>
      <c r="T143" s="480"/>
      <c r="U143" s="480"/>
      <c r="V143" s="480"/>
      <c r="W143" s="480"/>
      <c r="X143" s="480"/>
      <c r="Y143" s="480"/>
      <c r="Z143" s="480"/>
      <c r="AA143" s="480"/>
      <c r="AB143" s="480"/>
      <c r="AC143" s="480"/>
      <c r="AD143" s="480"/>
      <c r="AE143" s="480"/>
      <c r="AF143" s="480"/>
      <c r="AG143" s="480"/>
      <c r="AH143" s="480"/>
      <c r="AI143" s="480"/>
      <c r="AJ143" s="480"/>
      <c r="AK143" s="480"/>
      <c r="AL143" s="480"/>
      <c r="AM143" s="480"/>
      <c r="AN143" s="480"/>
      <c r="AO143" s="480"/>
      <c r="AP143" s="480"/>
      <c r="AQ143" s="480"/>
      <c r="AR143" s="480"/>
      <c r="AS143" s="480"/>
    </row>
    <row r="144" spans="1:46" ht="12" customHeight="1">
      <c r="A144" s="427"/>
      <c r="B144" s="481"/>
      <c r="C144" s="460"/>
      <c r="D144" s="460"/>
      <c r="E144" s="460"/>
      <c r="F144" s="460"/>
      <c r="G144" s="460"/>
      <c r="H144" s="460"/>
      <c r="I144" s="460"/>
      <c r="J144" s="460"/>
      <c r="K144" s="460"/>
      <c r="L144" s="460"/>
      <c r="M144" s="460"/>
      <c r="N144" s="460"/>
      <c r="O144" s="460"/>
      <c r="P144" s="460"/>
      <c r="Q144" s="460"/>
      <c r="R144" s="460"/>
      <c r="S144" s="460"/>
      <c r="T144" s="460"/>
      <c r="U144" s="460"/>
      <c r="V144" s="460"/>
      <c r="W144" s="460"/>
      <c r="X144" s="460"/>
      <c r="Y144" s="460"/>
      <c r="Z144" s="460"/>
      <c r="AA144" s="460"/>
      <c r="AB144" s="460"/>
      <c r="AC144" s="460"/>
      <c r="AD144" s="460"/>
      <c r="AE144" s="460"/>
      <c r="AF144" s="460"/>
      <c r="AG144" s="460"/>
      <c r="AH144" s="460"/>
      <c r="AI144" s="460"/>
      <c r="AJ144" s="460"/>
      <c r="AK144" s="460"/>
      <c r="AL144" s="460"/>
      <c r="AM144" s="460"/>
      <c r="AN144" s="460"/>
      <c r="AO144" s="460"/>
      <c r="AP144" s="460"/>
      <c r="AQ144" s="460"/>
      <c r="AR144" s="460"/>
      <c r="AS144" s="460"/>
    </row>
    <row r="145" spans="1:45" ht="12" customHeight="1">
      <c r="A145" s="427"/>
      <c r="B145" s="481"/>
      <c r="C145" s="460"/>
      <c r="D145" s="460"/>
      <c r="E145" s="460"/>
      <c r="F145" s="460"/>
      <c r="G145" s="460"/>
      <c r="H145" s="460"/>
      <c r="I145" s="460"/>
      <c r="J145" s="460"/>
      <c r="K145" s="460"/>
      <c r="L145" s="460"/>
      <c r="M145" s="460"/>
      <c r="N145" s="460"/>
      <c r="O145" s="460"/>
      <c r="P145" s="460"/>
      <c r="Q145" s="460"/>
      <c r="R145" s="460"/>
      <c r="S145" s="460"/>
      <c r="T145" s="460"/>
      <c r="U145" s="460"/>
      <c r="V145" s="460"/>
      <c r="W145" s="460"/>
      <c r="X145" s="460"/>
      <c r="Y145" s="460"/>
      <c r="Z145" s="460"/>
      <c r="AA145" s="460"/>
      <c r="AB145" s="460"/>
      <c r="AC145" s="460"/>
      <c r="AD145" s="460"/>
      <c r="AE145" s="460"/>
      <c r="AF145" s="460"/>
      <c r="AG145" s="460"/>
      <c r="AH145" s="460"/>
      <c r="AI145" s="460"/>
      <c r="AJ145" s="460"/>
      <c r="AK145" s="460"/>
      <c r="AL145" s="460"/>
      <c r="AM145" s="460"/>
      <c r="AN145" s="460"/>
      <c r="AO145" s="460"/>
      <c r="AP145" s="460"/>
      <c r="AQ145" s="460"/>
      <c r="AR145" s="460"/>
      <c r="AS145" s="460"/>
    </row>
    <row r="146" spans="1:45" ht="12" customHeight="1">
      <c r="A146" s="427"/>
      <c r="B146" s="481"/>
      <c r="C146" s="460"/>
      <c r="D146" s="460"/>
      <c r="E146" s="460"/>
      <c r="F146" s="460"/>
      <c r="G146" s="460"/>
      <c r="H146" s="460"/>
      <c r="I146" s="460"/>
      <c r="J146" s="460"/>
      <c r="K146" s="460"/>
      <c r="L146" s="460"/>
      <c r="M146" s="460"/>
      <c r="N146" s="460"/>
      <c r="O146" s="460"/>
      <c r="P146" s="460"/>
      <c r="Q146" s="460"/>
      <c r="R146" s="460"/>
      <c r="S146" s="460"/>
      <c r="T146" s="460"/>
      <c r="U146" s="460"/>
      <c r="V146" s="460"/>
      <c r="W146" s="460"/>
      <c r="X146" s="460"/>
      <c r="Y146" s="460"/>
      <c r="Z146" s="460"/>
      <c r="AA146" s="460"/>
      <c r="AB146" s="460"/>
      <c r="AC146" s="460"/>
      <c r="AD146" s="460"/>
      <c r="AE146" s="460"/>
      <c r="AF146" s="460"/>
      <c r="AG146" s="460"/>
      <c r="AH146" s="460"/>
      <c r="AI146" s="460"/>
      <c r="AJ146" s="460"/>
      <c r="AK146" s="460"/>
      <c r="AL146" s="460"/>
      <c r="AM146" s="460"/>
      <c r="AN146" s="460"/>
      <c r="AO146" s="460"/>
      <c r="AP146" s="460"/>
      <c r="AQ146" s="460"/>
      <c r="AR146" s="460"/>
      <c r="AS146" s="460"/>
    </row>
    <row r="147" spans="1:45" ht="12" customHeight="1">
      <c r="A147" s="427"/>
      <c r="B147" s="481"/>
      <c r="C147" s="460"/>
      <c r="D147" s="460"/>
      <c r="E147" s="460"/>
      <c r="F147" s="460"/>
      <c r="G147" s="460"/>
      <c r="H147" s="460"/>
      <c r="I147" s="460"/>
      <c r="J147" s="460"/>
      <c r="K147" s="460"/>
      <c r="L147" s="460"/>
      <c r="M147" s="460"/>
      <c r="N147" s="460"/>
      <c r="O147" s="460"/>
      <c r="P147" s="460"/>
      <c r="Q147" s="460"/>
      <c r="R147" s="460"/>
      <c r="S147" s="460"/>
      <c r="T147" s="460"/>
      <c r="U147" s="460"/>
      <c r="V147" s="460"/>
      <c r="W147" s="460"/>
      <c r="X147" s="460"/>
      <c r="Y147" s="460"/>
      <c r="Z147" s="460"/>
      <c r="AA147" s="460"/>
      <c r="AB147" s="460"/>
      <c r="AC147" s="460"/>
      <c r="AD147" s="460"/>
      <c r="AE147" s="460"/>
      <c r="AF147" s="460"/>
      <c r="AG147" s="460"/>
      <c r="AH147" s="460"/>
      <c r="AI147" s="460"/>
      <c r="AJ147" s="460"/>
      <c r="AK147" s="460"/>
      <c r="AL147" s="460"/>
      <c r="AM147" s="460"/>
      <c r="AN147" s="460"/>
      <c r="AO147" s="460"/>
      <c r="AP147" s="460"/>
      <c r="AQ147" s="460"/>
      <c r="AR147" s="460"/>
      <c r="AS147" s="460"/>
    </row>
    <row r="148" spans="1:45" ht="12" customHeight="1">
      <c r="A148" s="427"/>
      <c r="B148" s="481"/>
      <c r="C148" s="460"/>
      <c r="D148" s="460"/>
      <c r="E148" s="460"/>
      <c r="F148" s="460"/>
      <c r="G148" s="460"/>
      <c r="H148" s="460"/>
      <c r="I148" s="460"/>
      <c r="J148" s="460"/>
      <c r="K148" s="460"/>
      <c r="L148" s="460"/>
      <c r="M148" s="460"/>
      <c r="N148" s="460"/>
      <c r="O148" s="460"/>
      <c r="P148" s="460"/>
      <c r="Q148" s="460"/>
      <c r="R148" s="460"/>
      <c r="S148" s="460"/>
      <c r="T148" s="460"/>
      <c r="U148" s="460"/>
      <c r="V148" s="460"/>
      <c r="W148" s="460"/>
      <c r="X148" s="460"/>
      <c r="Y148" s="460"/>
      <c r="Z148" s="460"/>
      <c r="AA148" s="460"/>
      <c r="AB148" s="460"/>
      <c r="AC148" s="460"/>
      <c r="AD148" s="460"/>
      <c r="AE148" s="460"/>
      <c r="AF148" s="460"/>
      <c r="AG148" s="460"/>
      <c r="AH148" s="460"/>
      <c r="AI148" s="460"/>
      <c r="AJ148" s="460"/>
      <c r="AK148" s="460"/>
      <c r="AL148" s="460"/>
      <c r="AM148" s="460"/>
      <c r="AN148" s="460"/>
      <c r="AO148" s="460"/>
      <c r="AP148" s="460"/>
      <c r="AQ148" s="460"/>
      <c r="AR148" s="460"/>
      <c r="AS148" s="460"/>
    </row>
    <row r="149" spans="1:45" ht="12" customHeight="1">
      <c r="A149" s="427"/>
      <c r="B149" s="481"/>
      <c r="C149" s="460"/>
      <c r="D149" s="460"/>
      <c r="E149" s="460"/>
      <c r="F149" s="460"/>
      <c r="G149" s="460"/>
      <c r="H149" s="460"/>
      <c r="I149" s="460"/>
      <c r="J149" s="460"/>
      <c r="K149" s="460"/>
      <c r="L149" s="460"/>
      <c r="M149" s="460"/>
      <c r="N149" s="460"/>
      <c r="O149" s="460"/>
      <c r="P149" s="460"/>
      <c r="Q149" s="460"/>
      <c r="R149" s="460"/>
      <c r="S149" s="460"/>
      <c r="T149" s="460"/>
      <c r="U149" s="460"/>
      <c r="V149" s="460"/>
      <c r="W149" s="460"/>
      <c r="X149" s="460"/>
      <c r="Y149" s="460"/>
      <c r="Z149" s="460"/>
      <c r="AA149" s="460"/>
      <c r="AB149" s="460"/>
      <c r="AC149" s="460"/>
      <c r="AD149" s="460"/>
      <c r="AE149" s="460"/>
      <c r="AF149" s="460"/>
      <c r="AG149" s="460"/>
      <c r="AH149" s="460"/>
      <c r="AI149" s="460"/>
      <c r="AJ149" s="460"/>
      <c r="AK149" s="460"/>
      <c r="AL149" s="460"/>
      <c r="AM149" s="460"/>
      <c r="AN149" s="460"/>
      <c r="AO149" s="460"/>
      <c r="AP149" s="460"/>
      <c r="AQ149" s="460"/>
      <c r="AR149" s="460"/>
      <c r="AS149" s="460"/>
    </row>
    <row r="150" spans="1:45" ht="12" customHeight="1">
      <c r="A150" s="427"/>
      <c r="B150" s="481"/>
      <c r="C150" s="460"/>
      <c r="D150" s="460"/>
      <c r="E150" s="460"/>
      <c r="F150" s="460"/>
      <c r="G150" s="460"/>
      <c r="H150" s="460"/>
      <c r="I150" s="460"/>
      <c r="J150" s="460"/>
      <c r="K150" s="460"/>
      <c r="L150" s="460"/>
      <c r="M150" s="460"/>
      <c r="N150" s="460"/>
      <c r="O150" s="460"/>
      <c r="P150" s="460"/>
      <c r="Q150" s="460"/>
      <c r="R150" s="460"/>
      <c r="S150" s="460"/>
      <c r="T150" s="460"/>
      <c r="U150" s="460"/>
      <c r="V150" s="460"/>
      <c r="W150" s="460"/>
      <c r="X150" s="460"/>
      <c r="Y150" s="460"/>
      <c r="Z150" s="460"/>
      <c r="AA150" s="460"/>
      <c r="AB150" s="460"/>
      <c r="AC150" s="460"/>
      <c r="AD150" s="460"/>
      <c r="AE150" s="460"/>
      <c r="AF150" s="460"/>
      <c r="AG150" s="460"/>
      <c r="AH150" s="460"/>
      <c r="AI150" s="460"/>
      <c r="AJ150" s="460"/>
      <c r="AK150" s="460"/>
      <c r="AL150" s="460"/>
      <c r="AM150" s="460"/>
      <c r="AN150" s="460"/>
      <c r="AO150" s="460"/>
      <c r="AP150" s="460"/>
      <c r="AQ150" s="460"/>
      <c r="AR150" s="460"/>
      <c r="AS150" s="460"/>
    </row>
    <row r="151" spans="1:45" ht="12" customHeight="1">
      <c r="A151" s="427"/>
      <c r="B151" s="481"/>
      <c r="C151" s="460"/>
      <c r="D151" s="460"/>
      <c r="E151" s="460"/>
      <c r="F151" s="460"/>
      <c r="G151" s="460"/>
      <c r="H151" s="460"/>
      <c r="I151" s="460"/>
      <c r="J151" s="460"/>
      <c r="K151" s="460"/>
      <c r="L151" s="460"/>
      <c r="M151" s="460"/>
      <c r="N151" s="460"/>
      <c r="O151" s="460"/>
      <c r="P151" s="460"/>
      <c r="Q151" s="460"/>
      <c r="R151" s="460"/>
      <c r="S151" s="460"/>
      <c r="T151" s="460"/>
      <c r="U151" s="460"/>
      <c r="V151" s="460"/>
      <c r="W151" s="460"/>
      <c r="X151" s="460"/>
      <c r="Y151" s="460"/>
      <c r="Z151" s="460"/>
      <c r="AA151" s="460"/>
      <c r="AB151" s="460"/>
      <c r="AC151" s="460"/>
      <c r="AD151" s="460"/>
      <c r="AE151" s="460"/>
      <c r="AF151" s="460"/>
      <c r="AG151" s="460"/>
      <c r="AH151" s="460"/>
      <c r="AI151" s="460"/>
      <c r="AJ151" s="460"/>
      <c r="AK151" s="460"/>
      <c r="AL151" s="460"/>
      <c r="AM151" s="460"/>
      <c r="AN151" s="460"/>
      <c r="AO151" s="460"/>
      <c r="AP151" s="460"/>
      <c r="AQ151" s="460"/>
      <c r="AR151" s="460"/>
      <c r="AS151" s="460"/>
    </row>
    <row r="152" spans="1:45" ht="12" customHeight="1">
      <c r="A152" s="427"/>
      <c r="B152" s="481"/>
      <c r="C152" s="460"/>
      <c r="D152" s="460"/>
      <c r="E152" s="460"/>
      <c r="F152" s="460"/>
      <c r="G152" s="460"/>
      <c r="H152" s="460"/>
      <c r="I152" s="460"/>
      <c r="J152" s="460"/>
      <c r="K152" s="460"/>
      <c r="L152" s="460"/>
      <c r="M152" s="460"/>
      <c r="N152" s="460"/>
      <c r="O152" s="460"/>
      <c r="P152" s="460"/>
      <c r="Q152" s="460"/>
      <c r="R152" s="460"/>
      <c r="S152" s="460"/>
      <c r="T152" s="460"/>
      <c r="U152" s="460"/>
      <c r="V152" s="460"/>
      <c r="W152" s="460"/>
      <c r="X152" s="460"/>
      <c r="Y152" s="460"/>
      <c r="Z152" s="460"/>
      <c r="AA152" s="460"/>
      <c r="AB152" s="460"/>
      <c r="AC152" s="460"/>
      <c r="AD152" s="460"/>
      <c r="AE152" s="460"/>
      <c r="AF152" s="460"/>
      <c r="AG152" s="460"/>
      <c r="AH152" s="460"/>
      <c r="AI152" s="460"/>
      <c r="AJ152" s="460"/>
      <c r="AK152" s="460"/>
      <c r="AL152" s="460"/>
      <c r="AM152" s="460"/>
      <c r="AN152" s="460"/>
      <c r="AO152" s="460"/>
      <c r="AP152" s="460"/>
      <c r="AQ152" s="460"/>
      <c r="AR152" s="460"/>
      <c r="AS152" s="460"/>
    </row>
    <row r="153" spans="1:45" ht="12" customHeight="1">
      <c r="A153" s="427"/>
      <c r="B153" s="481"/>
      <c r="C153" s="460"/>
      <c r="D153" s="460"/>
      <c r="E153" s="460"/>
      <c r="F153" s="460"/>
      <c r="G153" s="460"/>
      <c r="H153" s="460"/>
      <c r="I153" s="460"/>
      <c r="J153" s="460"/>
      <c r="K153" s="460"/>
      <c r="L153" s="460"/>
      <c r="M153" s="460"/>
      <c r="N153" s="460"/>
      <c r="O153" s="460"/>
      <c r="P153" s="460"/>
      <c r="Q153" s="460"/>
      <c r="R153" s="460"/>
      <c r="S153" s="460"/>
      <c r="T153" s="460"/>
      <c r="U153" s="460"/>
      <c r="V153" s="460"/>
      <c r="W153" s="460"/>
      <c r="X153" s="460"/>
      <c r="Y153" s="460"/>
      <c r="Z153" s="460"/>
      <c r="AA153" s="460"/>
      <c r="AB153" s="460"/>
      <c r="AC153" s="460"/>
      <c r="AD153" s="460"/>
      <c r="AE153" s="460"/>
      <c r="AF153" s="460"/>
      <c r="AG153" s="460"/>
      <c r="AH153" s="460"/>
      <c r="AI153" s="460"/>
      <c r="AJ153" s="460"/>
      <c r="AK153" s="460"/>
      <c r="AL153" s="460"/>
      <c r="AM153" s="460"/>
      <c r="AN153" s="460"/>
      <c r="AO153" s="460"/>
      <c r="AP153" s="460"/>
      <c r="AQ153" s="460"/>
      <c r="AR153" s="460"/>
      <c r="AS153" s="460"/>
    </row>
    <row r="154" spans="1:45" ht="12" customHeight="1">
      <c r="A154" s="427"/>
      <c r="B154" s="481"/>
      <c r="C154" s="460"/>
      <c r="D154" s="460"/>
      <c r="E154" s="460"/>
      <c r="F154" s="460"/>
      <c r="G154" s="460"/>
      <c r="H154" s="460"/>
      <c r="I154" s="460"/>
      <c r="J154" s="460"/>
      <c r="K154" s="460"/>
      <c r="L154" s="460"/>
      <c r="M154" s="460"/>
      <c r="N154" s="460"/>
      <c r="O154" s="460"/>
      <c r="P154" s="460"/>
      <c r="Q154" s="460"/>
      <c r="R154" s="460"/>
      <c r="S154" s="460"/>
      <c r="T154" s="460"/>
      <c r="U154" s="460"/>
      <c r="V154" s="460"/>
      <c r="W154" s="460"/>
      <c r="X154" s="460"/>
      <c r="Y154" s="460"/>
      <c r="Z154" s="460"/>
      <c r="AA154" s="460"/>
      <c r="AB154" s="460"/>
      <c r="AC154" s="460"/>
      <c r="AD154" s="460"/>
      <c r="AE154" s="460"/>
      <c r="AF154" s="460"/>
      <c r="AG154" s="460"/>
      <c r="AH154" s="460"/>
      <c r="AI154" s="460"/>
      <c r="AJ154" s="460"/>
      <c r="AK154" s="460"/>
      <c r="AL154" s="460"/>
      <c r="AM154" s="460"/>
      <c r="AN154" s="460"/>
      <c r="AO154" s="460"/>
      <c r="AP154" s="460"/>
      <c r="AQ154" s="460"/>
      <c r="AR154" s="460"/>
      <c r="AS154" s="460"/>
    </row>
    <row r="155" spans="1:45" ht="12" customHeight="1">
      <c r="A155" s="427"/>
      <c r="B155" s="481"/>
      <c r="C155" s="460"/>
      <c r="D155" s="460"/>
      <c r="E155" s="460"/>
      <c r="F155" s="460"/>
      <c r="G155" s="460"/>
      <c r="H155" s="460"/>
      <c r="I155" s="460"/>
      <c r="J155" s="460"/>
      <c r="K155" s="460"/>
      <c r="L155" s="460"/>
      <c r="M155" s="460"/>
      <c r="N155" s="460"/>
      <c r="O155" s="460"/>
      <c r="P155" s="460"/>
      <c r="Q155" s="460"/>
      <c r="R155" s="460"/>
      <c r="S155" s="460"/>
      <c r="T155" s="460"/>
      <c r="U155" s="460"/>
      <c r="V155" s="460"/>
      <c r="W155" s="460"/>
      <c r="X155" s="460"/>
      <c r="Y155" s="460"/>
      <c r="Z155" s="460"/>
      <c r="AA155" s="460"/>
      <c r="AB155" s="460"/>
      <c r="AC155" s="460"/>
      <c r="AD155" s="460"/>
      <c r="AE155" s="460"/>
      <c r="AF155" s="460"/>
      <c r="AG155" s="460"/>
      <c r="AH155" s="460"/>
      <c r="AI155" s="460"/>
      <c r="AJ155" s="460"/>
      <c r="AK155" s="460"/>
      <c r="AL155" s="460"/>
      <c r="AM155" s="460"/>
      <c r="AN155" s="460"/>
      <c r="AO155" s="460"/>
      <c r="AP155" s="460"/>
      <c r="AQ155" s="460"/>
      <c r="AR155" s="460"/>
      <c r="AS155" s="460"/>
    </row>
    <row r="156" spans="1:45" ht="12" customHeight="1">
      <c r="A156" s="427"/>
      <c r="B156" s="481"/>
      <c r="C156" s="460"/>
      <c r="D156" s="460"/>
      <c r="E156" s="460"/>
      <c r="F156" s="460"/>
      <c r="G156" s="460"/>
      <c r="H156" s="460"/>
      <c r="I156" s="460"/>
      <c r="J156" s="460"/>
      <c r="K156" s="460"/>
      <c r="L156" s="460"/>
      <c r="M156" s="460"/>
      <c r="N156" s="460"/>
      <c r="O156" s="460"/>
      <c r="P156" s="460"/>
      <c r="Q156" s="460"/>
      <c r="R156" s="460"/>
      <c r="S156" s="460"/>
      <c r="T156" s="460"/>
      <c r="U156" s="460"/>
      <c r="V156" s="460"/>
      <c r="W156" s="460"/>
      <c r="X156" s="460"/>
      <c r="Y156" s="460"/>
      <c r="Z156" s="460"/>
      <c r="AA156" s="460"/>
      <c r="AB156" s="460"/>
      <c r="AC156" s="460"/>
      <c r="AD156" s="460"/>
      <c r="AE156" s="460"/>
      <c r="AF156" s="460"/>
      <c r="AG156" s="460"/>
      <c r="AH156" s="460"/>
      <c r="AI156" s="460"/>
      <c r="AJ156" s="460"/>
      <c r="AK156" s="460"/>
      <c r="AL156" s="460"/>
      <c r="AM156" s="460"/>
      <c r="AN156" s="460"/>
      <c r="AO156" s="460"/>
      <c r="AP156" s="460"/>
      <c r="AQ156" s="460"/>
      <c r="AR156" s="460"/>
      <c r="AS156" s="460"/>
    </row>
    <row r="157" spans="1:45" ht="12" customHeight="1">
      <c r="A157" s="427"/>
      <c r="B157" s="481"/>
      <c r="C157" s="460"/>
      <c r="D157" s="460"/>
      <c r="E157" s="460"/>
      <c r="F157" s="460"/>
      <c r="G157" s="460"/>
      <c r="H157" s="460"/>
      <c r="I157" s="460"/>
      <c r="J157" s="460"/>
      <c r="K157" s="460"/>
      <c r="L157" s="460"/>
      <c r="M157" s="460"/>
      <c r="N157" s="460"/>
      <c r="O157" s="460"/>
      <c r="P157" s="460"/>
      <c r="Q157" s="460"/>
      <c r="R157" s="460"/>
      <c r="S157" s="460"/>
      <c r="T157" s="460"/>
      <c r="U157" s="460"/>
      <c r="V157" s="460"/>
      <c r="W157" s="460"/>
      <c r="X157" s="460"/>
      <c r="Y157" s="460"/>
      <c r="Z157" s="460"/>
      <c r="AA157" s="460"/>
      <c r="AB157" s="460"/>
      <c r="AC157" s="460"/>
      <c r="AD157" s="460"/>
      <c r="AE157" s="460"/>
      <c r="AF157" s="460"/>
      <c r="AG157" s="460"/>
      <c r="AH157" s="460"/>
      <c r="AI157" s="460"/>
      <c r="AJ157" s="460"/>
      <c r="AK157" s="460"/>
      <c r="AL157" s="460"/>
      <c r="AM157" s="460"/>
      <c r="AN157" s="460"/>
      <c r="AO157" s="460"/>
      <c r="AP157" s="460"/>
      <c r="AQ157" s="460"/>
      <c r="AR157" s="460"/>
      <c r="AS157" s="460"/>
    </row>
    <row r="158" spans="1:45" ht="12" customHeight="1">
      <c r="A158" s="427"/>
      <c r="B158" s="481"/>
      <c r="C158" s="460"/>
      <c r="D158" s="460"/>
      <c r="E158" s="460"/>
      <c r="F158" s="460"/>
      <c r="G158" s="460"/>
      <c r="H158" s="460"/>
      <c r="I158" s="460"/>
      <c r="J158" s="460"/>
      <c r="K158" s="460"/>
      <c r="L158" s="460"/>
      <c r="M158" s="460"/>
      <c r="N158" s="460"/>
      <c r="O158" s="460"/>
      <c r="P158" s="460"/>
      <c r="Q158" s="460"/>
      <c r="R158" s="460"/>
      <c r="S158" s="460"/>
      <c r="T158" s="460"/>
      <c r="U158" s="460"/>
      <c r="V158" s="460"/>
      <c r="W158" s="460"/>
      <c r="X158" s="460"/>
      <c r="Y158" s="460"/>
      <c r="Z158" s="460"/>
      <c r="AA158" s="460"/>
      <c r="AB158" s="460"/>
      <c r="AC158" s="460"/>
      <c r="AD158" s="460"/>
      <c r="AE158" s="460"/>
      <c r="AF158" s="460"/>
      <c r="AG158" s="460"/>
      <c r="AH158" s="460"/>
      <c r="AI158" s="460"/>
      <c r="AJ158" s="460"/>
      <c r="AK158" s="460"/>
      <c r="AL158" s="460"/>
      <c r="AM158" s="460"/>
      <c r="AN158" s="460"/>
      <c r="AO158" s="460"/>
      <c r="AP158" s="460"/>
      <c r="AQ158" s="460"/>
      <c r="AR158" s="460"/>
      <c r="AS158" s="460"/>
    </row>
    <row r="159" spans="1:45" ht="12" customHeight="1">
      <c r="A159" s="427"/>
      <c r="B159" s="481"/>
      <c r="C159" s="460"/>
      <c r="D159" s="460"/>
      <c r="E159" s="460"/>
      <c r="F159" s="460"/>
      <c r="G159" s="460"/>
      <c r="H159" s="460"/>
      <c r="I159" s="460"/>
      <c r="J159" s="460"/>
      <c r="K159" s="460"/>
      <c r="L159" s="460"/>
      <c r="M159" s="460"/>
      <c r="N159" s="460"/>
      <c r="O159" s="460"/>
      <c r="P159" s="460"/>
      <c r="Q159" s="460"/>
      <c r="R159" s="460"/>
      <c r="S159" s="460"/>
      <c r="T159" s="460"/>
      <c r="U159" s="460"/>
      <c r="V159" s="460"/>
      <c r="W159" s="460"/>
      <c r="X159" s="460"/>
      <c r="Y159" s="460"/>
      <c r="Z159" s="460"/>
      <c r="AA159" s="460"/>
      <c r="AB159" s="460"/>
      <c r="AC159" s="460"/>
      <c r="AD159" s="460"/>
      <c r="AE159" s="460"/>
      <c r="AF159" s="460"/>
      <c r="AG159" s="460"/>
      <c r="AH159" s="460"/>
      <c r="AI159" s="460"/>
      <c r="AJ159" s="460"/>
      <c r="AK159" s="460"/>
      <c r="AL159" s="460"/>
      <c r="AM159" s="460"/>
      <c r="AN159" s="460"/>
      <c r="AO159" s="460"/>
      <c r="AP159" s="460"/>
      <c r="AQ159" s="460"/>
      <c r="AR159" s="460"/>
      <c r="AS159" s="460"/>
    </row>
    <row r="160" spans="1:45" ht="12" customHeight="1">
      <c r="A160" s="427"/>
      <c r="B160" s="481"/>
      <c r="C160" s="460"/>
      <c r="D160" s="460"/>
      <c r="E160" s="460"/>
      <c r="F160" s="460"/>
      <c r="G160" s="460"/>
      <c r="H160" s="460"/>
      <c r="I160" s="460"/>
      <c r="J160" s="460"/>
      <c r="K160" s="460"/>
      <c r="L160" s="460"/>
      <c r="M160" s="460"/>
      <c r="N160" s="460"/>
      <c r="O160" s="460"/>
      <c r="P160" s="460"/>
      <c r="Q160" s="460"/>
      <c r="R160" s="460"/>
      <c r="S160" s="460"/>
      <c r="T160" s="460"/>
      <c r="U160" s="460"/>
      <c r="V160" s="460"/>
      <c r="W160" s="460"/>
      <c r="X160" s="460"/>
      <c r="Y160" s="460"/>
      <c r="Z160" s="460"/>
      <c r="AA160" s="460"/>
      <c r="AB160" s="460"/>
      <c r="AC160" s="460"/>
      <c r="AD160" s="460"/>
      <c r="AE160" s="460"/>
      <c r="AF160" s="460"/>
      <c r="AG160" s="460"/>
      <c r="AH160" s="460"/>
      <c r="AI160" s="460"/>
      <c r="AJ160" s="460"/>
      <c r="AK160" s="460"/>
      <c r="AL160" s="460"/>
      <c r="AM160" s="460"/>
      <c r="AN160" s="460"/>
      <c r="AO160" s="460"/>
      <c r="AP160" s="460"/>
      <c r="AQ160" s="460"/>
      <c r="AR160" s="460"/>
      <c r="AS160" s="460"/>
    </row>
    <row r="161" spans="1:45" ht="12" customHeight="1">
      <c r="A161" s="427"/>
      <c r="B161" s="481"/>
      <c r="C161" s="460"/>
      <c r="D161" s="460"/>
      <c r="E161" s="460"/>
      <c r="F161" s="460"/>
      <c r="G161" s="460"/>
      <c r="H161" s="460"/>
      <c r="I161" s="460"/>
      <c r="J161" s="460"/>
      <c r="K161" s="460"/>
      <c r="L161" s="460"/>
      <c r="M161" s="460"/>
      <c r="N161" s="460"/>
      <c r="O161" s="460"/>
      <c r="P161" s="460"/>
      <c r="Q161" s="460"/>
      <c r="R161" s="460"/>
      <c r="S161" s="460"/>
      <c r="T161" s="460"/>
      <c r="U161" s="460"/>
      <c r="V161" s="460"/>
      <c r="W161" s="460"/>
      <c r="X161" s="460"/>
      <c r="Y161" s="460"/>
      <c r="Z161" s="460"/>
      <c r="AA161" s="460"/>
      <c r="AB161" s="460"/>
      <c r="AC161" s="460"/>
      <c r="AD161" s="460"/>
      <c r="AE161" s="460"/>
      <c r="AF161" s="460"/>
      <c r="AG161" s="460"/>
      <c r="AH161" s="460"/>
      <c r="AI161" s="460"/>
      <c r="AJ161" s="460"/>
      <c r="AK161" s="460"/>
      <c r="AL161" s="460"/>
      <c r="AM161" s="460"/>
      <c r="AN161" s="460"/>
      <c r="AO161" s="460"/>
      <c r="AP161" s="460"/>
      <c r="AQ161" s="460"/>
      <c r="AR161" s="460"/>
      <c r="AS161" s="460"/>
    </row>
    <row r="162" spans="1:45" ht="12" customHeight="1">
      <c r="A162" s="427"/>
      <c r="B162" s="481"/>
      <c r="C162" s="460"/>
      <c r="D162" s="460"/>
      <c r="E162" s="460"/>
      <c r="F162" s="460"/>
      <c r="G162" s="460"/>
      <c r="H162" s="460"/>
      <c r="I162" s="460"/>
      <c r="J162" s="460"/>
      <c r="K162" s="460"/>
      <c r="L162" s="460"/>
      <c r="M162" s="460"/>
      <c r="N162" s="460"/>
      <c r="O162" s="460"/>
      <c r="P162" s="460"/>
      <c r="Q162" s="460"/>
      <c r="R162" s="460"/>
      <c r="S162" s="460"/>
      <c r="T162" s="460"/>
      <c r="U162" s="460"/>
      <c r="V162" s="460"/>
      <c r="W162" s="460"/>
      <c r="X162" s="460"/>
      <c r="Y162" s="460"/>
      <c r="Z162" s="460"/>
      <c r="AA162" s="460"/>
      <c r="AB162" s="460"/>
      <c r="AC162" s="460"/>
      <c r="AD162" s="460"/>
      <c r="AE162" s="460"/>
      <c r="AF162" s="460"/>
      <c r="AG162" s="460"/>
      <c r="AH162" s="460"/>
      <c r="AI162" s="460"/>
      <c r="AJ162" s="460"/>
      <c r="AK162" s="460"/>
      <c r="AL162" s="460"/>
      <c r="AM162" s="460"/>
      <c r="AN162" s="460"/>
      <c r="AO162" s="460"/>
      <c r="AP162" s="460"/>
      <c r="AQ162" s="460"/>
      <c r="AR162" s="460"/>
      <c r="AS162" s="460"/>
    </row>
    <row r="163" spans="1:45" ht="12" customHeight="1">
      <c r="A163" s="427"/>
      <c r="B163" s="481"/>
      <c r="C163" s="460"/>
      <c r="D163" s="460"/>
      <c r="E163" s="460"/>
      <c r="F163" s="460"/>
      <c r="G163" s="460"/>
      <c r="H163" s="460"/>
      <c r="I163" s="460"/>
      <c r="J163" s="460"/>
      <c r="K163" s="460"/>
      <c r="L163" s="460"/>
      <c r="M163" s="460"/>
      <c r="N163" s="460"/>
      <c r="O163" s="460"/>
      <c r="P163" s="460"/>
      <c r="Q163" s="460"/>
      <c r="R163" s="460"/>
      <c r="S163" s="460"/>
      <c r="T163" s="460"/>
      <c r="U163" s="460"/>
      <c r="V163" s="460"/>
      <c r="W163" s="460"/>
      <c r="X163" s="460"/>
      <c r="Y163" s="460"/>
      <c r="Z163" s="460"/>
      <c r="AA163" s="460"/>
      <c r="AB163" s="460"/>
      <c r="AC163" s="460"/>
      <c r="AD163" s="460"/>
      <c r="AE163" s="460"/>
      <c r="AF163" s="460"/>
      <c r="AG163" s="460"/>
      <c r="AH163" s="460"/>
      <c r="AI163" s="460"/>
      <c r="AJ163" s="460"/>
      <c r="AK163" s="460"/>
      <c r="AL163" s="460"/>
      <c r="AM163" s="460"/>
      <c r="AN163" s="460"/>
      <c r="AO163" s="460"/>
      <c r="AP163" s="460"/>
      <c r="AQ163" s="460"/>
      <c r="AR163" s="460"/>
      <c r="AS163" s="460"/>
    </row>
    <row r="164" spans="1:45" ht="12" customHeight="1">
      <c r="A164" s="427"/>
      <c r="B164" s="481"/>
      <c r="C164" s="460"/>
      <c r="D164" s="460"/>
      <c r="E164" s="460"/>
      <c r="F164" s="460"/>
      <c r="G164" s="460"/>
      <c r="H164" s="460"/>
      <c r="I164" s="460"/>
      <c r="J164" s="460"/>
      <c r="K164" s="460"/>
      <c r="L164" s="460"/>
      <c r="M164" s="460"/>
      <c r="N164" s="460"/>
      <c r="O164" s="460"/>
      <c r="P164" s="460"/>
      <c r="Q164" s="460"/>
      <c r="R164" s="460"/>
      <c r="S164" s="460"/>
      <c r="T164" s="460"/>
      <c r="U164" s="460"/>
      <c r="V164" s="460"/>
      <c r="W164" s="460"/>
      <c r="X164" s="460"/>
      <c r="Y164" s="460"/>
      <c r="Z164" s="460"/>
      <c r="AA164" s="460"/>
      <c r="AB164" s="460"/>
      <c r="AC164" s="460"/>
      <c r="AD164" s="460"/>
      <c r="AE164" s="460"/>
      <c r="AF164" s="460"/>
      <c r="AG164" s="460"/>
      <c r="AH164" s="460"/>
      <c r="AI164" s="460"/>
      <c r="AJ164" s="460"/>
      <c r="AK164" s="460"/>
      <c r="AL164" s="460"/>
      <c r="AM164" s="460"/>
      <c r="AN164" s="460"/>
      <c r="AO164" s="460"/>
      <c r="AP164" s="460"/>
      <c r="AQ164" s="460"/>
      <c r="AR164" s="460"/>
      <c r="AS164" s="460"/>
    </row>
    <row r="165" spans="1:45" ht="12" customHeight="1">
      <c r="A165" s="427"/>
      <c r="B165" s="481"/>
      <c r="C165" s="460"/>
      <c r="D165" s="460"/>
      <c r="E165" s="460"/>
      <c r="F165" s="460"/>
      <c r="G165" s="460"/>
      <c r="H165" s="460"/>
      <c r="I165" s="460"/>
      <c r="J165" s="460"/>
      <c r="K165" s="460"/>
      <c r="L165" s="460"/>
      <c r="M165" s="460"/>
      <c r="N165" s="460"/>
      <c r="O165" s="460"/>
      <c r="P165" s="460"/>
      <c r="Q165" s="460"/>
      <c r="R165" s="460"/>
      <c r="S165" s="460"/>
      <c r="T165" s="460"/>
      <c r="U165" s="460"/>
      <c r="V165" s="460"/>
      <c r="W165" s="460"/>
      <c r="X165" s="460"/>
      <c r="Y165" s="460"/>
      <c r="Z165" s="460"/>
      <c r="AA165" s="460"/>
      <c r="AB165" s="460"/>
      <c r="AC165" s="460"/>
      <c r="AD165" s="460"/>
      <c r="AE165" s="460"/>
      <c r="AF165" s="460"/>
      <c r="AG165" s="460"/>
      <c r="AH165" s="460"/>
      <c r="AI165" s="460"/>
      <c r="AJ165" s="460"/>
      <c r="AK165" s="460"/>
      <c r="AL165" s="460"/>
      <c r="AM165" s="460"/>
      <c r="AN165" s="460"/>
      <c r="AO165" s="460"/>
      <c r="AP165" s="460"/>
      <c r="AQ165" s="460"/>
      <c r="AR165" s="460"/>
      <c r="AS165" s="460"/>
    </row>
    <row r="166" spans="1:45" ht="12" customHeight="1">
      <c r="A166" s="427"/>
      <c r="B166" s="481"/>
      <c r="C166" s="460"/>
      <c r="D166" s="460"/>
      <c r="E166" s="460"/>
      <c r="F166" s="460"/>
      <c r="G166" s="460"/>
      <c r="H166" s="460"/>
      <c r="I166" s="460"/>
      <c r="J166" s="460"/>
      <c r="K166" s="460"/>
      <c r="L166" s="460"/>
      <c r="M166" s="460"/>
      <c r="N166" s="460"/>
      <c r="O166" s="460"/>
      <c r="P166" s="460"/>
      <c r="Q166" s="460"/>
      <c r="R166" s="460"/>
      <c r="S166" s="460"/>
      <c r="T166" s="460"/>
      <c r="U166" s="460"/>
      <c r="V166" s="460"/>
      <c r="W166" s="460"/>
      <c r="X166" s="460"/>
      <c r="Y166" s="460"/>
      <c r="Z166" s="460"/>
      <c r="AA166" s="460"/>
      <c r="AB166" s="460"/>
      <c r="AC166" s="460"/>
      <c r="AD166" s="460"/>
      <c r="AE166" s="460"/>
      <c r="AF166" s="460"/>
      <c r="AG166" s="460"/>
      <c r="AH166" s="460"/>
      <c r="AI166" s="460"/>
      <c r="AJ166" s="460"/>
      <c r="AK166" s="460"/>
      <c r="AL166" s="460"/>
      <c r="AM166" s="460"/>
      <c r="AN166" s="460"/>
      <c r="AO166" s="460"/>
      <c r="AP166" s="460"/>
      <c r="AQ166" s="460"/>
      <c r="AR166" s="460"/>
      <c r="AS166" s="460"/>
    </row>
    <row r="167" spans="1:45" ht="12" customHeight="1">
      <c r="A167" s="481"/>
      <c r="B167" s="460"/>
      <c r="C167" s="460"/>
      <c r="D167" s="460"/>
      <c r="E167" s="460"/>
      <c r="F167" s="460"/>
      <c r="G167" s="460"/>
      <c r="H167" s="460"/>
      <c r="I167" s="460"/>
      <c r="J167" s="460"/>
      <c r="K167" s="460"/>
      <c r="L167" s="460"/>
      <c r="M167" s="460"/>
      <c r="N167" s="460"/>
      <c r="O167" s="460"/>
      <c r="P167" s="460"/>
      <c r="Q167" s="460"/>
      <c r="R167" s="460"/>
      <c r="S167" s="460"/>
      <c r="T167" s="460"/>
      <c r="U167" s="460"/>
      <c r="V167" s="460"/>
      <c r="W167" s="460"/>
      <c r="X167" s="460"/>
      <c r="Y167" s="460"/>
      <c r="Z167" s="460"/>
      <c r="AA167" s="460"/>
      <c r="AB167" s="460"/>
      <c r="AC167" s="460"/>
      <c r="AD167" s="460"/>
      <c r="AE167" s="460"/>
      <c r="AF167" s="460"/>
      <c r="AG167" s="460"/>
      <c r="AH167" s="460"/>
      <c r="AI167" s="460"/>
      <c r="AJ167" s="460"/>
      <c r="AK167" s="460"/>
      <c r="AL167" s="460"/>
      <c r="AM167" s="460"/>
      <c r="AN167" s="460"/>
      <c r="AO167" s="460"/>
      <c r="AP167" s="460"/>
      <c r="AQ167" s="460"/>
      <c r="AR167" s="460"/>
    </row>
    <row r="168" spans="1:45" ht="12" customHeight="1">
      <c r="A168" s="481"/>
      <c r="B168" s="460"/>
      <c r="C168" s="460"/>
      <c r="D168" s="460"/>
      <c r="E168" s="460"/>
      <c r="F168" s="460"/>
      <c r="G168" s="460"/>
      <c r="H168" s="460"/>
      <c r="I168" s="460"/>
      <c r="J168" s="460"/>
      <c r="K168" s="460"/>
      <c r="L168" s="460"/>
      <c r="M168" s="460"/>
      <c r="N168" s="460"/>
      <c r="O168" s="460"/>
      <c r="P168" s="460"/>
      <c r="Q168" s="460"/>
      <c r="R168" s="460"/>
      <c r="S168" s="460"/>
      <c r="T168" s="460"/>
      <c r="U168" s="460"/>
      <c r="V168" s="460"/>
      <c r="W168" s="460"/>
      <c r="X168" s="460"/>
      <c r="Y168" s="460"/>
      <c r="Z168" s="460"/>
      <c r="AA168" s="460"/>
      <c r="AB168" s="460"/>
      <c r="AC168" s="460"/>
      <c r="AD168" s="460"/>
      <c r="AE168" s="460"/>
      <c r="AF168" s="460"/>
      <c r="AG168" s="460"/>
      <c r="AH168" s="460"/>
      <c r="AI168" s="460"/>
      <c r="AJ168" s="460"/>
      <c r="AK168" s="460"/>
      <c r="AL168" s="460"/>
      <c r="AM168" s="460"/>
      <c r="AN168" s="460"/>
      <c r="AO168" s="460"/>
      <c r="AP168" s="460"/>
      <c r="AQ168" s="460"/>
      <c r="AR168" s="460"/>
    </row>
    <row r="169" spans="1:45" ht="12" customHeight="1">
      <c r="A169" s="481"/>
      <c r="B169" s="460"/>
      <c r="C169" s="460"/>
      <c r="D169" s="460"/>
      <c r="E169" s="460"/>
      <c r="F169" s="460"/>
      <c r="G169" s="460"/>
      <c r="H169" s="460"/>
      <c r="I169" s="460"/>
      <c r="J169" s="460"/>
      <c r="K169" s="460"/>
      <c r="L169" s="460"/>
      <c r="M169" s="460"/>
      <c r="N169" s="460"/>
      <c r="O169" s="460"/>
      <c r="P169" s="460"/>
      <c r="Q169" s="460"/>
      <c r="R169" s="460"/>
      <c r="S169" s="460"/>
      <c r="T169" s="460"/>
      <c r="U169" s="460"/>
      <c r="V169" s="460"/>
      <c r="W169" s="460"/>
      <c r="X169" s="460"/>
      <c r="Y169" s="460"/>
      <c r="Z169" s="460"/>
      <c r="AA169" s="460"/>
      <c r="AB169" s="460"/>
      <c r="AC169" s="460"/>
      <c r="AD169" s="460"/>
      <c r="AE169" s="460"/>
      <c r="AF169" s="460"/>
      <c r="AG169" s="460"/>
      <c r="AH169" s="460"/>
      <c r="AI169" s="460"/>
      <c r="AJ169" s="460"/>
      <c r="AK169" s="460"/>
      <c r="AL169" s="460"/>
      <c r="AM169" s="460"/>
      <c r="AN169" s="460"/>
      <c r="AO169" s="460"/>
      <c r="AP169" s="460"/>
      <c r="AQ169" s="460"/>
      <c r="AR169" s="460"/>
    </row>
    <row r="170" spans="1:45" ht="12" customHeight="1">
      <c r="A170" s="481"/>
      <c r="B170" s="460"/>
      <c r="C170" s="460"/>
      <c r="D170" s="460"/>
      <c r="E170" s="460"/>
      <c r="F170" s="460"/>
      <c r="G170" s="460"/>
      <c r="H170" s="460"/>
      <c r="I170" s="460"/>
      <c r="J170" s="460"/>
      <c r="K170" s="460"/>
      <c r="L170" s="460"/>
      <c r="M170" s="460"/>
      <c r="N170" s="460"/>
      <c r="O170" s="460"/>
      <c r="P170" s="460"/>
      <c r="Q170" s="460"/>
      <c r="R170" s="460"/>
      <c r="S170" s="460"/>
      <c r="T170" s="460"/>
      <c r="U170" s="460"/>
      <c r="V170" s="460"/>
      <c r="W170" s="460"/>
      <c r="X170" s="460"/>
      <c r="Y170" s="460"/>
      <c r="Z170" s="460"/>
      <c r="AA170" s="460"/>
      <c r="AB170" s="460"/>
      <c r="AC170" s="460"/>
      <c r="AD170" s="460"/>
      <c r="AE170" s="460"/>
      <c r="AF170" s="460"/>
      <c r="AG170" s="460"/>
      <c r="AH170" s="460"/>
      <c r="AI170" s="460"/>
      <c r="AJ170" s="460"/>
      <c r="AK170" s="460"/>
      <c r="AL170" s="460"/>
      <c r="AM170" s="460"/>
      <c r="AN170" s="460"/>
      <c r="AO170" s="460"/>
      <c r="AP170" s="460"/>
      <c r="AQ170" s="460"/>
      <c r="AR170" s="460"/>
    </row>
    <row r="171" spans="1:45" ht="12" customHeight="1">
      <c r="A171" s="481"/>
      <c r="B171" s="460"/>
      <c r="C171" s="460"/>
      <c r="D171" s="460"/>
      <c r="E171" s="460"/>
      <c r="F171" s="460"/>
      <c r="G171" s="460"/>
      <c r="H171" s="460"/>
      <c r="I171" s="460"/>
      <c r="J171" s="460"/>
      <c r="K171" s="460"/>
      <c r="L171" s="460"/>
      <c r="M171" s="460"/>
      <c r="N171" s="460"/>
      <c r="O171" s="460"/>
      <c r="P171" s="460"/>
      <c r="Q171" s="460"/>
      <c r="R171" s="460"/>
      <c r="S171" s="460"/>
      <c r="T171" s="460"/>
      <c r="U171" s="460"/>
      <c r="V171" s="460"/>
      <c r="W171" s="460"/>
      <c r="X171" s="460"/>
      <c r="Y171" s="460"/>
      <c r="Z171" s="460"/>
      <c r="AA171" s="460"/>
      <c r="AB171" s="460"/>
      <c r="AC171" s="460"/>
      <c r="AD171" s="460"/>
      <c r="AE171" s="460"/>
      <c r="AF171" s="460"/>
      <c r="AG171" s="460"/>
      <c r="AH171" s="460"/>
      <c r="AI171" s="460"/>
      <c r="AJ171" s="460"/>
      <c r="AK171" s="460"/>
      <c r="AL171" s="460"/>
      <c r="AM171" s="460"/>
      <c r="AN171" s="460"/>
      <c r="AO171" s="460"/>
      <c r="AP171" s="460"/>
      <c r="AQ171" s="460"/>
      <c r="AR171" s="460"/>
    </row>
    <row r="172" spans="1:45" ht="12" customHeight="1">
      <c r="A172" s="481"/>
      <c r="B172" s="460"/>
      <c r="C172" s="460"/>
      <c r="D172" s="460"/>
      <c r="E172" s="460"/>
      <c r="F172" s="460"/>
      <c r="G172" s="460"/>
      <c r="H172" s="460"/>
      <c r="I172" s="460"/>
      <c r="J172" s="460"/>
      <c r="K172" s="460"/>
      <c r="L172" s="460"/>
      <c r="M172" s="460"/>
      <c r="N172" s="460"/>
      <c r="O172" s="460"/>
      <c r="P172" s="460"/>
      <c r="Q172" s="460"/>
      <c r="R172" s="460"/>
      <c r="S172" s="460"/>
      <c r="T172" s="460"/>
      <c r="U172" s="460"/>
      <c r="V172" s="460"/>
      <c r="W172" s="460"/>
      <c r="X172" s="460"/>
      <c r="Y172" s="460"/>
      <c r="Z172" s="460"/>
      <c r="AA172" s="460"/>
      <c r="AB172" s="460"/>
      <c r="AC172" s="460"/>
      <c r="AD172" s="460"/>
      <c r="AE172" s="460"/>
      <c r="AF172" s="460"/>
      <c r="AG172" s="460"/>
      <c r="AH172" s="460"/>
      <c r="AI172" s="460"/>
      <c r="AJ172" s="460"/>
      <c r="AK172" s="460"/>
      <c r="AL172" s="460"/>
      <c r="AM172" s="460"/>
      <c r="AN172" s="460"/>
      <c r="AO172" s="460"/>
      <c r="AP172" s="460"/>
      <c r="AQ172" s="460"/>
      <c r="AR172" s="460"/>
    </row>
    <row r="173" spans="1:45" ht="12" customHeight="1"/>
    <row r="174" spans="1:45" ht="12" customHeight="1"/>
    <row r="175" spans="1:45" ht="12" customHeight="1"/>
    <row r="176" spans="1:45"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sheetData>
  <mergeCells count="119">
    <mergeCell ref="AG1:AR1"/>
    <mergeCell ref="B6:T7"/>
    <mergeCell ref="B8:T9"/>
    <mergeCell ref="U8:Y9"/>
    <mergeCell ref="Z8:AO9"/>
    <mergeCell ref="B16:J20"/>
    <mergeCell ref="K16:V20"/>
    <mergeCell ref="W16:AE20"/>
    <mergeCell ref="AF18:AH18"/>
    <mergeCell ref="AK18:AL18"/>
    <mergeCell ref="AN18:AO18"/>
    <mergeCell ref="B11:K11"/>
    <mergeCell ref="M11:V11"/>
    <mergeCell ref="X11:AG11"/>
    <mergeCell ref="AI11:AQ11"/>
    <mergeCell ref="B12:K15"/>
    <mergeCell ref="L13:V15"/>
    <mergeCell ref="W13:AG15"/>
    <mergeCell ref="AH13:AQ15"/>
    <mergeCell ref="AM27:AP29"/>
    <mergeCell ref="B21:J25"/>
    <mergeCell ref="W21:AE25"/>
    <mergeCell ref="AG22:AJ24"/>
    <mergeCell ref="AK22:AL24"/>
    <mergeCell ref="AM22:AP24"/>
    <mergeCell ref="K23:M23"/>
    <mergeCell ref="P23:Q23"/>
    <mergeCell ref="S23:T23"/>
    <mergeCell ref="N32:N33"/>
    <mergeCell ref="O32:Q33"/>
    <mergeCell ref="R32:R33"/>
    <mergeCell ref="S32:U33"/>
    <mergeCell ref="B26:J30"/>
    <mergeCell ref="K26:V30"/>
    <mergeCell ref="W26:AE30"/>
    <mergeCell ref="AG27:AJ29"/>
    <mergeCell ref="AK27:AL29"/>
    <mergeCell ref="AE35:AH36"/>
    <mergeCell ref="AI35:AI36"/>
    <mergeCell ref="AJ35:AL36"/>
    <mergeCell ref="AM35:AM36"/>
    <mergeCell ref="AN35:AP36"/>
    <mergeCell ref="AQ35:AQ36"/>
    <mergeCell ref="AN32:AP33"/>
    <mergeCell ref="AQ32:AQ33"/>
    <mergeCell ref="B35:I36"/>
    <mergeCell ref="J35:M36"/>
    <mergeCell ref="N35:N36"/>
    <mergeCell ref="O35:Q36"/>
    <mergeCell ref="R35:R36"/>
    <mergeCell ref="S35:U36"/>
    <mergeCell ref="V35:V36"/>
    <mergeCell ref="W35:AD36"/>
    <mergeCell ref="V32:V33"/>
    <mergeCell ref="W32:AD33"/>
    <mergeCell ref="AE32:AH33"/>
    <mergeCell ref="AI32:AI33"/>
    <mergeCell ref="AJ32:AL33"/>
    <mergeCell ref="AM32:AM33"/>
    <mergeCell ref="B32:I33"/>
    <mergeCell ref="J32:M33"/>
    <mergeCell ref="AN38:AP39"/>
    <mergeCell ref="AQ38:AQ39"/>
    <mergeCell ref="Y44:AA44"/>
    <mergeCell ref="B47:E64"/>
    <mergeCell ref="F47:N59"/>
    <mergeCell ref="O51:R52"/>
    <mergeCell ref="AK51:AQ52"/>
    <mergeCell ref="O53:R54"/>
    <mergeCell ref="O56:R57"/>
    <mergeCell ref="O58:R59"/>
    <mergeCell ref="V38:V39"/>
    <mergeCell ref="W38:AD39"/>
    <mergeCell ref="AE38:AH39"/>
    <mergeCell ref="AI38:AI39"/>
    <mergeCell ref="AJ38:AL39"/>
    <mergeCell ref="AM38:AM39"/>
    <mergeCell ref="B38:I39"/>
    <mergeCell ref="J38:M39"/>
    <mergeCell ref="N38:N39"/>
    <mergeCell ref="O38:Q39"/>
    <mergeCell ref="R38:R39"/>
    <mergeCell ref="S38:U39"/>
    <mergeCell ref="D75:AR76"/>
    <mergeCell ref="D77:AR77"/>
    <mergeCell ref="D78:AR78"/>
    <mergeCell ref="D79:AR79"/>
    <mergeCell ref="D80:AR82"/>
    <mergeCell ref="D83:AR83"/>
    <mergeCell ref="F60:N64"/>
    <mergeCell ref="AM62:AN63"/>
    <mergeCell ref="AF66:AP67"/>
    <mergeCell ref="H67:L67"/>
    <mergeCell ref="C72:AS72"/>
    <mergeCell ref="D73:AR74"/>
    <mergeCell ref="D96:AR97"/>
    <mergeCell ref="D99:AR99"/>
    <mergeCell ref="D101:AR101"/>
    <mergeCell ref="D103:AR103"/>
    <mergeCell ref="C105:AR105"/>
    <mergeCell ref="D106:AR107"/>
    <mergeCell ref="C85:AR85"/>
    <mergeCell ref="D86:AR87"/>
    <mergeCell ref="D89:AR89"/>
    <mergeCell ref="D91:AR91"/>
    <mergeCell ref="D93:AR93"/>
    <mergeCell ref="C95:AR95"/>
    <mergeCell ref="C122:AR123"/>
    <mergeCell ref="C125:AR128"/>
    <mergeCell ref="C130:AR131"/>
    <mergeCell ref="C133:AR136"/>
    <mergeCell ref="C138:AR138"/>
    <mergeCell ref="C140:AR141"/>
    <mergeCell ref="D109:AR109"/>
    <mergeCell ref="D111:AR111"/>
    <mergeCell ref="D113:AR113"/>
    <mergeCell ref="D115:AR115"/>
    <mergeCell ref="C117:AR118"/>
    <mergeCell ref="C120:AR120"/>
  </mergeCells>
  <phoneticPr fontId="3"/>
  <pageMargins left="0.7" right="0.7" top="0.75" bottom="0.75" header="0.3" footer="0.3"/>
  <pageSetup paperSize="9" scale="92" fitToHeight="0" orientation="portrait" r:id="rId1"/>
  <rowBreaks count="1" manualBreakCount="1">
    <brk id="68" max="16383" man="1"/>
  </row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5</vt:i4>
      </vt:variant>
    </vt:vector>
  </HeadingPairs>
  <TitlesOfParts>
    <vt:vector size="17" baseType="lpstr">
      <vt:lpstr>【記入例】履歴書</vt:lpstr>
      <vt:lpstr>入力用　履歴書</vt:lpstr>
      <vt:lpstr>別紙　履歴書(職歴)</vt:lpstr>
      <vt:lpstr>通勤届</vt:lpstr>
      <vt:lpstr>【記入例】通勤届.</vt:lpstr>
      <vt:lpstr>月額表（平成27年1月以降分）</vt:lpstr>
      <vt:lpstr>事務室処理用　財務会計支払</vt:lpstr>
      <vt:lpstr>支給明細書　財務会計支払 </vt:lpstr>
      <vt:lpstr>事務室処理用　科研費支払</vt:lpstr>
      <vt:lpstr>支給明細書　科研費支払</vt:lpstr>
      <vt:lpstr>日額丙欄税額作業</vt:lpstr>
      <vt:lpstr>入力用　外国人雇用状況届出書</vt:lpstr>
      <vt:lpstr>'支給明細書　科研費支払'!Print_Area</vt:lpstr>
      <vt:lpstr>'支給明細書　財務会計支払 '!Print_Area</vt:lpstr>
      <vt:lpstr>'事務室処理用　科研費支払'!Print_Area</vt:lpstr>
      <vt:lpstr>'事務室処理用　財務会計支払'!Print_Area</vt:lpstr>
      <vt:lpstr>'月額表（平成27年1月以降分）'!Print_Titles</vt:lpstr>
    </vt:vector>
  </TitlesOfParts>
  <Company>首都大学東京</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首都大学東京</dc:creator>
  <cp:lastModifiedBy>jimu</cp:lastModifiedBy>
  <cp:lastPrinted>2019-02-15T00:38:43Z</cp:lastPrinted>
  <dcterms:created xsi:type="dcterms:W3CDTF">2005-06-07T11:25:38Z</dcterms:created>
  <dcterms:modified xsi:type="dcterms:W3CDTF">2019-02-27T02:01:42Z</dcterms:modified>
</cp:coreProperties>
</file>